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18513a2ab5b3ed9/作業/令和８年度/"/>
    </mc:Choice>
  </mc:AlternateContent>
  <xr:revisionPtr revIDLastSave="1100" documentId="8_{57A58E6F-B8B6-47B2-9E88-E971891D6B2E}" xr6:coauthVersionLast="47" xr6:coauthVersionMax="47" xr10:uidLastSave="{76F73B5B-68BD-4C8E-B174-E537A603831E}"/>
  <bookViews>
    <workbookView xWindow="28485" yWindow="4215" windowWidth="24960" windowHeight="15450" xr2:uid="{00000000-000D-0000-FFFF-FFFF00000000}"/>
  </bookViews>
  <sheets>
    <sheet name="R８年度 (税)" sheetId="6" r:id="rId1"/>
    <sheet name="都市" sheetId="1" r:id="rId2"/>
    <sheet name="箕面" sheetId="2" r:id="rId3"/>
    <sheet name="一覧" sheetId="3" r:id="rId4"/>
    <sheet name="R８年度" sheetId="4" r:id="rId5"/>
    <sheet name="☆R7開催タイトル読み（入力補助）" sheetId="5" r:id="rId6"/>
  </sheets>
  <definedNames>
    <definedName name="_xlnm.Print_Area" localSheetId="4">'R８年度'!$A$1:$M$55</definedName>
    <definedName name="_xlnm.Print_Area" localSheetId="0">'R８年度 (税)'!$A$1:$N$75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6" l="1"/>
  <c r="L7" i="6" s="1"/>
  <c r="M12" i="6"/>
  <c r="L12" i="6" s="1"/>
  <c r="M14" i="6"/>
  <c r="L14" i="6" s="1"/>
  <c r="M16" i="6"/>
  <c r="L16" i="6" s="1"/>
  <c r="M24" i="6"/>
  <c r="L24" i="6" s="1"/>
  <c r="M26" i="6"/>
  <c r="L26" i="6" s="1"/>
  <c r="M28" i="6"/>
  <c r="L28" i="6" s="1"/>
  <c r="M33" i="6"/>
  <c r="L33" i="6" s="1"/>
  <c r="M35" i="6"/>
  <c r="L35" i="6" s="1"/>
  <c r="M39" i="6"/>
  <c r="L39" i="6" s="1"/>
  <c r="M48" i="6"/>
  <c r="L48" i="6" s="1"/>
  <c r="M50" i="6"/>
  <c r="L50" i="6" s="1"/>
  <c r="M55" i="6"/>
  <c r="L55" i="6" s="1"/>
  <c r="M61" i="6"/>
  <c r="L61" i="6" s="1"/>
  <c r="M63" i="6"/>
  <c r="L63" i="6" s="1"/>
  <c r="M69" i="6"/>
  <c r="L69" i="6" s="1"/>
  <c r="M71" i="6"/>
  <c r="L71" i="6" s="1"/>
  <c r="M44" i="6"/>
  <c r="L44" i="6" s="1"/>
  <c r="M20" i="6"/>
  <c r="L20" i="6" s="1"/>
  <c r="M10" i="6"/>
  <c r="L10" i="6" s="1"/>
  <c r="M3" i="6"/>
  <c r="L3" i="6" s="1"/>
  <c r="N75" i="6"/>
  <c r="M31" i="6"/>
  <c r="L31" i="6" s="1"/>
  <c r="M73" i="6"/>
  <c r="L73" i="6" s="1"/>
  <c r="M67" i="6"/>
  <c r="L67" i="6" s="1"/>
  <c r="M65" i="6"/>
  <c r="L65" i="6" s="1"/>
  <c r="M59" i="6"/>
  <c r="L59" i="6" s="1"/>
  <c r="M57" i="6"/>
  <c r="L57" i="6" s="1"/>
  <c r="M52" i="6"/>
  <c r="L52" i="6" s="1"/>
  <c r="M46" i="6"/>
  <c r="L46" i="6" s="1"/>
  <c r="M43" i="6"/>
  <c r="L43" i="6" s="1"/>
  <c r="M41" i="6"/>
  <c r="L41" i="6" s="1"/>
  <c r="M37" i="6"/>
  <c r="L37" i="6" s="1"/>
  <c r="M30" i="6"/>
  <c r="L30" i="6" s="1"/>
  <c r="M22" i="6"/>
  <c r="L22" i="6" s="1"/>
  <c r="M21" i="6"/>
  <c r="L21" i="6" s="1"/>
  <c r="M72" i="6"/>
  <c r="L72" i="6" s="1"/>
  <c r="J72" i="6"/>
  <c r="F72" i="6"/>
  <c r="M70" i="6"/>
  <c r="L70" i="6" s="1"/>
  <c r="J70" i="6"/>
  <c r="F70" i="6"/>
  <c r="M68" i="6"/>
  <c r="L68" i="6" s="1"/>
  <c r="J68" i="6"/>
  <c r="F68" i="6"/>
  <c r="M66" i="6"/>
  <c r="L66" i="6" s="1"/>
  <c r="J66" i="6"/>
  <c r="F66" i="6"/>
  <c r="M64" i="6"/>
  <c r="L64" i="6" s="1"/>
  <c r="J64" i="6"/>
  <c r="F64" i="6"/>
  <c r="M62" i="6"/>
  <c r="L62" i="6" s="1"/>
  <c r="J62" i="6"/>
  <c r="F62" i="6"/>
  <c r="M60" i="6"/>
  <c r="L60" i="6" s="1"/>
  <c r="J60" i="6"/>
  <c r="F60" i="6"/>
  <c r="M58" i="6"/>
  <c r="L58" i="6" s="1"/>
  <c r="J58" i="6"/>
  <c r="F58" i="6"/>
  <c r="M56" i="6"/>
  <c r="L56" i="6" s="1"/>
  <c r="J56" i="6"/>
  <c r="F56" i="6"/>
  <c r="M54" i="6"/>
  <c r="L54" i="6" s="1"/>
  <c r="J54" i="6"/>
  <c r="F54" i="6"/>
  <c r="M53" i="6"/>
  <c r="L53" i="6" s="1"/>
  <c r="J53" i="6"/>
  <c r="F53" i="6"/>
  <c r="M51" i="6"/>
  <c r="L51" i="6" s="1"/>
  <c r="J51" i="6"/>
  <c r="F51" i="6"/>
  <c r="M49" i="6"/>
  <c r="L49" i="6" s="1"/>
  <c r="J49" i="6"/>
  <c r="F49" i="6"/>
  <c r="M47" i="6"/>
  <c r="L47" i="6" s="1"/>
  <c r="J47" i="6"/>
  <c r="F47" i="6"/>
  <c r="M45" i="6"/>
  <c r="L45" i="6" s="1"/>
  <c r="J45" i="6"/>
  <c r="F45" i="6"/>
  <c r="M42" i="6"/>
  <c r="L42" i="6" s="1"/>
  <c r="J42" i="6"/>
  <c r="F42" i="6"/>
  <c r="M40" i="6"/>
  <c r="L40" i="6" s="1"/>
  <c r="J40" i="6"/>
  <c r="F40" i="6"/>
  <c r="M38" i="6"/>
  <c r="L38" i="6" s="1"/>
  <c r="J38" i="6"/>
  <c r="F38" i="6"/>
  <c r="M36" i="6"/>
  <c r="L36" i="6" s="1"/>
  <c r="J36" i="6"/>
  <c r="F36" i="6"/>
  <c r="M34" i="6"/>
  <c r="L34" i="6" s="1"/>
  <c r="J34" i="6"/>
  <c r="F34" i="6"/>
  <c r="M32" i="6"/>
  <c r="L32" i="6" s="1"/>
  <c r="J32" i="6"/>
  <c r="F32" i="6"/>
  <c r="M29" i="6"/>
  <c r="L29" i="6" s="1"/>
  <c r="J29" i="6"/>
  <c r="F29" i="6"/>
  <c r="M27" i="6"/>
  <c r="L27" i="6" s="1"/>
  <c r="J27" i="6"/>
  <c r="F27" i="6"/>
  <c r="M25" i="6"/>
  <c r="L25" i="6" s="1"/>
  <c r="J25" i="6"/>
  <c r="F25" i="6"/>
  <c r="M23" i="6"/>
  <c r="L23" i="6" s="1"/>
  <c r="J23" i="6"/>
  <c r="F23" i="6"/>
  <c r="J21" i="6"/>
  <c r="F21" i="6"/>
  <c r="M19" i="6"/>
  <c r="L19" i="6"/>
  <c r="J19" i="6"/>
  <c r="F19" i="6"/>
  <c r="M18" i="6"/>
  <c r="L18" i="6" s="1"/>
  <c r="M17" i="6"/>
  <c r="L17" i="6" s="1"/>
  <c r="J17" i="6"/>
  <c r="F17" i="6"/>
  <c r="M15" i="6"/>
  <c r="L15" i="6" s="1"/>
  <c r="J15" i="6"/>
  <c r="F15" i="6"/>
  <c r="M13" i="6"/>
  <c r="L13" i="6" s="1"/>
  <c r="J13" i="6"/>
  <c r="F13" i="6"/>
  <c r="M11" i="6"/>
  <c r="L11" i="6" s="1"/>
  <c r="J11" i="6"/>
  <c r="F11" i="6"/>
  <c r="M9" i="6"/>
  <c r="L9" i="6" s="1"/>
  <c r="M8" i="6"/>
  <c r="L8" i="6" s="1"/>
  <c r="J8" i="6"/>
  <c r="F8" i="6"/>
  <c r="M6" i="6"/>
  <c r="L6" i="6" s="1"/>
  <c r="J6" i="6"/>
  <c r="F6" i="6"/>
  <c r="M5" i="6"/>
  <c r="L5" i="6" s="1"/>
  <c r="M4" i="6"/>
  <c r="L4" i="6" s="1"/>
  <c r="J4" i="6"/>
  <c r="F4" i="6"/>
  <c r="M2" i="6"/>
  <c r="L2" i="6" s="1"/>
  <c r="J2" i="6"/>
  <c r="F2" i="6"/>
  <c r="O2" i="4"/>
  <c r="L12" i="4"/>
  <c r="K12" i="4" s="1"/>
  <c r="L7" i="4"/>
  <c r="K7" i="4" s="1"/>
  <c r="L4" i="4"/>
  <c r="K4" i="4" s="1"/>
  <c r="L75" i="6" l="1"/>
  <c r="M75" i="6"/>
  <c r="F75" i="6"/>
  <c r="J75" i="6"/>
  <c r="E2" i="4"/>
  <c r="E3" i="4"/>
  <c r="E5" i="4"/>
  <c r="E6" i="4"/>
  <c r="E8" i="4"/>
  <c r="E9" i="4"/>
  <c r="E10" i="4"/>
  <c r="E11" i="4"/>
  <c r="E13" i="4"/>
  <c r="E14" i="4"/>
  <c r="E16" i="4"/>
  <c r="E17" i="4"/>
  <c r="E18" i="4"/>
  <c r="E19" i="4"/>
  <c r="E21" i="4"/>
  <c r="E22" i="4"/>
  <c r="E23" i="4"/>
  <c r="E25" i="4"/>
  <c r="E26" i="4"/>
  <c r="E28" i="4"/>
  <c r="E30" i="4"/>
  <c r="E32" i="4"/>
  <c r="E33" i="4"/>
  <c r="E34" i="4"/>
  <c r="E36" i="4"/>
  <c r="E37" i="4"/>
  <c r="E38" i="4"/>
  <c r="E40" i="4"/>
  <c r="E42" i="4"/>
  <c r="E43" i="4"/>
  <c r="E44" i="4"/>
  <c r="E46" i="4"/>
  <c r="E48" i="4"/>
  <c r="E49" i="4"/>
  <c r="E50" i="4"/>
  <c r="I36" i="4"/>
  <c r="L50" i="4"/>
  <c r="I50" i="4"/>
  <c r="L49" i="4"/>
  <c r="I49" i="4"/>
  <c r="L48" i="4"/>
  <c r="I48" i="4"/>
  <c r="L46" i="4"/>
  <c r="I46" i="4"/>
  <c r="L44" i="4"/>
  <c r="I44" i="4"/>
  <c r="L43" i="4"/>
  <c r="I43" i="4"/>
  <c r="L42" i="4"/>
  <c r="K42" i="4" s="1"/>
  <c r="I42" i="4"/>
  <c r="L40" i="4"/>
  <c r="K40" i="4" s="1"/>
  <c r="I40" i="4"/>
  <c r="L38" i="4"/>
  <c r="K38" i="4" s="1"/>
  <c r="I38" i="4"/>
  <c r="L37" i="4"/>
  <c r="I37" i="4"/>
  <c r="L34" i="4"/>
  <c r="K34" i="4" s="1"/>
  <c r="I34" i="4"/>
  <c r="L33" i="4"/>
  <c r="I33" i="4"/>
  <c r="L32" i="4"/>
  <c r="I32" i="4"/>
  <c r="L30" i="4"/>
  <c r="I30" i="4"/>
  <c r="L28" i="4"/>
  <c r="I28" i="4"/>
  <c r="L26" i="4"/>
  <c r="I26" i="4"/>
  <c r="L25" i="4"/>
  <c r="I25" i="4"/>
  <c r="L23" i="4"/>
  <c r="I23" i="4"/>
  <c r="L22" i="4"/>
  <c r="I22" i="4"/>
  <c r="L21" i="4"/>
  <c r="K21" i="4" s="1"/>
  <c r="I21" i="4"/>
  <c r="L19" i="4"/>
  <c r="K19" i="4" s="1"/>
  <c r="I19" i="4"/>
  <c r="L18" i="4"/>
  <c r="K18" i="4" s="1"/>
  <c r="I18" i="4"/>
  <c r="L17" i="4"/>
  <c r="I17" i="4"/>
  <c r="L16" i="4"/>
  <c r="I16" i="4"/>
  <c r="L14" i="4"/>
  <c r="K14" i="4" s="1"/>
  <c r="I14" i="4"/>
  <c r="L13" i="4"/>
  <c r="I13" i="4"/>
  <c r="L11" i="4"/>
  <c r="K11" i="4" s="1"/>
  <c r="I11" i="4"/>
  <c r="I10" i="4"/>
  <c r="L9" i="4"/>
  <c r="I9" i="4"/>
  <c r="L8" i="4"/>
  <c r="I8" i="4"/>
  <c r="L6" i="4"/>
  <c r="I6" i="4"/>
  <c r="L5" i="4"/>
  <c r="I5" i="4"/>
  <c r="L3" i="4"/>
  <c r="I3" i="4"/>
  <c r="L2" i="4"/>
  <c r="K2" i="4" s="1"/>
  <c r="I2" i="4"/>
  <c r="E53" i="4" l="1"/>
  <c r="L36" i="4"/>
  <c r="K36" i="4" s="1"/>
  <c r="K26" i="4"/>
  <c r="K16" i="4"/>
  <c r="K30" i="4"/>
  <c r="K5" i="4"/>
  <c r="L10" i="4"/>
  <c r="K10" i="4" s="1"/>
  <c r="K8" i="4"/>
  <c r="K17" i="4"/>
  <c r="K13" i="4"/>
  <c r="K43" i="4"/>
  <c r="K48" i="4"/>
  <c r="I55" i="4"/>
  <c r="K9" i="4"/>
  <c r="M55" i="4"/>
  <c r="K44" i="4"/>
  <c r="K6" i="4"/>
  <c r="K22" i="4"/>
  <c r="K32" i="4"/>
  <c r="K49" i="4"/>
  <c r="K46" i="4"/>
  <c r="K23" i="4"/>
  <c r="K33" i="4"/>
  <c r="K50" i="4"/>
  <c r="K3" i="4"/>
  <c r="K28" i="4"/>
  <c r="K37" i="4"/>
  <c r="K25" i="4"/>
</calcChain>
</file>

<file path=xl/sharedStrings.xml><?xml version="1.0" encoding="utf-8"?>
<sst xmlns="http://schemas.openxmlformats.org/spreadsheetml/2006/main" count="703" uniqueCount="169">
  <si>
    <t>日程</t>
  </si>
  <si>
    <t>回日</t>
  </si>
  <si>
    <t>タイトル</t>
  </si>
  <si>
    <t>日数</t>
  </si>
  <si>
    <t>D/N</t>
  </si>
  <si>
    <t>3/3(金)-3/8(水)</t>
  </si>
  <si>
    <t>3/23(木)-3/29(水)</t>
  </si>
  <si>
    <t>4/11(月)-4/14(木)</t>
  </si>
  <si>
    <t>4/23(土)-4/27(水)</t>
  </si>
  <si>
    <t>4/30(土)-6/3(水)</t>
  </si>
  <si>
    <t>6/24(水)-6/29(月)</t>
  </si>
  <si>
    <t>7/15(水)-7/21(火)</t>
  </si>
  <si>
    <t>7/24(金)-7/27(月)</t>
  </si>
  <si>
    <t>8/4(火)-8/9(日)</t>
  </si>
  <si>
    <t>9/1(火)-9/6(日)</t>
  </si>
  <si>
    <t>9/11(金)-9/16(水)</t>
  </si>
  <si>
    <t>10/1(木)-10/6(火)</t>
  </si>
  <si>
    <t>11/21(土)-11/26(木)</t>
  </si>
  <si>
    <t>12/1(火)-12/5(土)</t>
  </si>
  <si>
    <t>12/26(土)-12/31(木)</t>
  </si>
  <si>
    <t>1/2(土)-1/7(木)</t>
  </si>
  <si>
    <t>2/2(火)-2/7(日)</t>
  </si>
  <si>
    <t>2/10(水)-2/15(月)</t>
  </si>
  <si>
    <t>2/6(土)-2/11(木)</t>
  </si>
  <si>
    <t>2/18(木)-2/22(月)</t>
  </si>
  <si>
    <t>1-6</t>
  </si>
  <si>
    <t>7-13</t>
  </si>
  <si>
    <t>1-4</t>
  </si>
  <si>
    <t>5-9</t>
  </si>
  <si>
    <t>1-5</t>
  </si>
  <si>
    <t>6-11</t>
  </si>
  <si>
    <t>1-7</t>
  </si>
  <si>
    <t>8-11</t>
  </si>
  <si>
    <t>7-12</t>
  </si>
  <si>
    <t>7-11</t>
  </si>
  <si>
    <t>GⅠ太閤賞競走開設70周年記念</t>
  </si>
  <si>
    <t>スポニチ杯争奪第60回なにわ賞</t>
  </si>
  <si>
    <t>寝屋川市制75周年記念競走</t>
  </si>
  <si>
    <t>アクアコンシェルジュカップ</t>
  </si>
  <si>
    <t>守口市制80周年記念競走</t>
  </si>
  <si>
    <t>ヴィーナスシリーズ第7戦／大阪スポーツ賞第37回アクアクイーンカップ</t>
  </si>
  <si>
    <t>サンケイスポーツ旗争奪第69回GSS競走</t>
  </si>
  <si>
    <t>豊中市制90周年記念競走</t>
  </si>
  <si>
    <t>にっぽん未来プロジェクト競走 in 住之江</t>
  </si>
  <si>
    <t>日刊スポーツ杯争奪 第30回ブルースターカップ（ニッカン・コム杯）</t>
  </si>
  <si>
    <t>報知新聞社賞第62回ダイナミック敢闘旗</t>
  </si>
  <si>
    <t>2026東京・大阪・福岡三都市対抗戦</t>
  </si>
  <si>
    <t>サンテレビ杯争奪 ボートの時間！ご視聴ありがとう競走</t>
  </si>
  <si>
    <t>BTSりんくう開設14周年記念競走</t>
  </si>
  <si>
    <t>PGⅠ第15回クイーンズクライマックス</t>
  </si>
  <si>
    <t>第65回全大阪王将戦</t>
  </si>
  <si>
    <t>BTS大和ごせ開設13周年記念 トランスワードトロフィー2027</t>
  </si>
  <si>
    <t>デイリースポーツ旗争奪 第68回ホワイトベア競走</t>
  </si>
  <si>
    <t>第9回auじぶん銀行賞</t>
  </si>
  <si>
    <t>一般競走</t>
  </si>
  <si>
    <t>N</t>
  </si>
  <si>
    <t>D</t>
  </si>
  <si>
    <t>報知杯争奪第44回全国地区選抜戦</t>
  </si>
  <si>
    <t>オール大阪2026ラピートカップ</t>
  </si>
  <si>
    <t>日本モータボート選手会長杯争奪2026ダイスポジャンピーカップ</t>
  </si>
  <si>
    <t>日本モータボート選手会長杯争奪2026ダイスポジャンピーカップ</t>
    <phoneticPr fontId="8"/>
  </si>
  <si>
    <t>日刊スポーツ盾争奪
ニッカン・コム杯 第60回しぶき杯競走</t>
  </si>
  <si>
    <t>日刊スポーツ盾争奪
ニッカン・コム杯 第60回しぶき杯競走</t>
    <phoneticPr fontId="8"/>
  </si>
  <si>
    <t>大阪ダービー 第43回摂河泉競走</t>
  </si>
  <si>
    <t>大阪ダービー 第43回摂河泉競走</t>
    <phoneticPr fontId="8"/>
  </si>
  <si>
    <t>サンケイスポーツ旗争奪第55回飛龍賞競走</t>
  </si>
  <si>
    <t>サンケイスポーツ旗争奪第55回飛龍賞競走</t>
    <phoneticPr fontId="8"/>
  </si>
  <si>
    <t>にっぽん未来プロジェクト競走ｉｎ住之江</t>
  </si>
  <si>
    <t>GⅢ2026モーターボートレディスカップ</t>
  </si>
  <si>
    <t>GⅠ第54回高松宮記念特別競走</t>
  </si>
  <si>
    <t>スポニチ杯争奪第60回住之江選手権競走</t>
  </si>
  <si>
    <t>GⅢ第37回アサヒビールカップ</t>
  </si>
  <si>
    <t>第58回住之江選手権競走（マスターズリーグ10戦）</t>
  </si>
  <si>
    <t>第58回住之江選手権競走（マスターズリーグ10戦）</t>
    <phoneticPr fontId="8"/>
  </si>
  <si>
    <t>第19回森下仁丹杯争奪戦</t>
  </si>
  <si>
    <t>第19回森下仁丹杯争奪戦</t>
    <phoneticPr fontId="8"/>
  </si>
  <si>
    <t>ボートピア梅田開設20周年記念 デイリースポーツ杯争奪 2027サザンカップ</t>
  </si>
  <si>
    <t>ボートピア梅田開設20周年記念 デイリースポーツ杯争奪 2027サザンカップ</t>
    <phoneticPr fontId="8"/>
  </si>
  <si>
    <t>スカパー！・JLC杯競走 （ルーキーシリーズ第6戦）</t>
  </si>
  <si>
    <t>スカパー！・JLC杯競走 （ルーキーシリーズ第6戦）</t>
    <phoneticPr fontId="8"/>
  </si>
  <si>
    <t>箕面</t>
    <rPh sb="0" eb="2">
      <t>ミノオ</t>
    </rPh>
    <phoneticPr fontId="8"/>
  </si>
  <si>
    <t>都市</t>
    <rPh sb="0" eb="2">
      <t>トシ</t>
    </rPh>
    <phoneticPr fontId="8"/>
  </si>
  <si>
    <t>開催ID</t>
    <rPh sb="0" eb="2">
      <t>カイサイ</t>
    </rPh>
    <phoneticPr fontId="11"/>
  </si>
  <si>
    <t>日程</t>
    <rPh sb="0" eb="2">
      <t>ニッテイ</t>
    </rPh>
    <phoneticPr fontId="11"/>
  </si>
  <si>
    <t>終了日</t>
    <rPh sb="0" eb="3">
      <t>シュウリョウビ</t>
    </rPh>
    <phoneticPr fontId="11"/>
  </si>
  <si>
    <t>month</t>
    <phoneticPr fontId="11"/>
  </si>
  <si>
    <t>主催</t>
    <rPh sb="0" eb="2">
      <t>シュサイ</t>
    </rPh>
    <phoneticPr fontId="11"/>
  </si>
  <si>
    <t>項目</t>
    <rPh sb="0" eb="2">
      <t>コウモク</t>
    </rPh>
    <phoneticPr fontId="11"/>
  </si>
  <si>
    <t>タイトル</t>
    <phoneticPr fontId="11"/>
  </si>
  <si>
    <t>日数</t>
    <rPh sb="0" eb="2">
      <t>ニッスウ</t>
    </rPh>
    <phoneticPr fontId="11"/>
  </si>
  <si>
    <t>種別</t>
    <rPh sb="0" eb="2">
      <t>シュベツ</t>
    </rPh>
    <phoneticPr fontId="11"/>
  </si>
  <si>
    <t>消費税</t>
    <rPh sb="0" eb="3">
      <t>ショウヒゼイ</t>
    </rPh>
    <phoneticPr fontId="11"/>
  </si>
  <si>
    <t>税抜き</t>
    <rPh sb="0" eb="2">
      <t>ゼイヌ</t>
    </rPh>
    <phoneticPr fontId="11"/>
  </si>
  <si>
    <t>税込み価格</t>
    <rPh sb="0" eb="2">
      <t>ゼイコ</t>
    </rPh>
    <rPh sb="3" eb="5">
      <t>カカク</t>
    </rPh>
    <phoneticPr fontId="11"/>
  </si>
  <si>
    <t>アクア</t>
    <phoneticPr fontId="11"/>
  </si>
  <si>
    <t>短縮よみ</t>
  </si>
  <si>
    <t>列1</t>
  </si>
  <si>
    <t>[1] 都市 6 days 2026/04/03～2026/04/08</t>
  </si>
  <si>
    <t>[2] 箕面 5 days 2026/04/16～2026/04/20</t>
  </si>
  <si>
    <t>[3] 都市 7 days 2026/04/23～2026/04/29</t>
  </si>
  <si>
    <t>[4] 箕面 6 days 2026/05/03～2026/05/08</t>
  </si>
  <si>
    <t>[5] 都市 4 days 2026/05/11～2026/05/14</t>
  </si>
  <si>
    <t>[6] 都市 5 days 2026/05/23～2026/05/27</t>
  </si>
  <si>
    <t>[7] 都市 5 days 2026/05/30～2026/06/03</t>
  </si>
  <si>
    <t>[8] 箕面 4 days 2026/06/14～2026/06/17</t>
  </si>
  <si>
    <t>[9] 都市 6 days 2026/06/24～2026/06/29</t>
  </si>
  <si>
    <t>[10] 箕面 6 days 2026/07/03～2026/07/08</t>
  </si>
  <si>
    <t>[11] 都市 7 days 2026/07/15～2026/07/21</t>
  </si>
  <si>
    <t>[12] 都市 4 days 2026/07/24～2026/07/27</t>
  </si>
  <si>
    <t>[13] 都市 6 days 2026/08/04～2026/08/09</t>
  </si>
  <si>
    <t>[14] 箕面 6 days 2026/08/13～2026/08/18</t>
  </si>
  <si>
    <t>[15] 都市 6 days 2026/09/01～2026/09/06</t>
  </si>
  <si>
    <t>[16] 都市 6 days 2026/09/11～2026/09/16</t>
  </si>
  <si>
    <t>[17] 箕面 6 days 2026/09/18～2026/09/23</t>
  </si>
  <si>
    <t>[18] 都市 6 days 2026/10/01～2026/10/06</t>
  </si>
  <si>
    <t>[19] 箕面 6 days 2026/10/10～2026/10/15</t>
  </si>
  <si>
    <t>[20] 箕面 6 days 2026/10/19～2026/10/24</t>
  </si>
  <si>
    <t>[21] 箕面 6 days 2026/11/05～2026/11/10</t>
  </si>
  <si>
    <t>[22] 都市 6 days 2026/11/21～2026/11/26</t>
  </si>
  <si>
    <t>[23] 都市 5 days 2026/12/01～2026/12/05</t>
  </si>
  <si>
    <t>[24] 箕面 5 days 2026/12/12～2026/12/16</t>
  </si>
  <si>
    <t>[25] 都市 6 days 2026/12/26～2026/12/31</t>
  </si>
  <si>
    <t>[26] 都市 6 days 2027/01/02～2027/01/07</t>
  </si>
  <si>
    <t>[27] 箕面 6 days 2027/01/10～2027/01/15</t>
  </si>
  <si>
    <t>[28] 箕面 6 days 2027/01/25～2027/01/30</t>
  </si>
  <si>
    <t>[29] 都市 6 days 2027/02/02～2027/02/07</t>
  </si>
  <si>
    <t>[30] 都市 6 days 2027/02/10～2027/02/15</t>
  </si>
  <si>
    <t>[31] 箕面 4 days 2027/02/20～2027/02/23</t>
  </si>
  <si>
    <t>[32] 箕面 6 days 2027/02/26～2027/03/03</t>
  </si>
  <si>
    <t>[33] 都市 6 days 2027/03/06～2027/03/11</t>
  </si>
  <si>
    <t>[34] 都市 5 days 2027/03/18～2027/03/22</t>
  </si>
  <si>
    <t>[35] 箕面 6 days 2027/03/24～2027/03/29</t>
  </si>
  <si>
    <t>たいこ</t>
    <phoneticPr fontId="8"/>
  </si>
  <si>
    <t>ぜんこ</t>
    <phoneticPr fontId="8"/>
  </si>
  <si>
    <t>なにわ</t>
    <phoneticPr fontId="8"/>
  </si>
  <si>
    <t>らぴー</t>
    <phoneticPr fontId="8"/>
  </si>
  <si>
    <t>ねやが</t>
    <phoneticPr fontId="8"/>
  </si>
  <si>
    <t>あくあ</t>
    <phoneticPr fontId="8"/>
  </si>
  <si>
    <t>もりぐ</t>
    <phoneticPr fontId="8"/>
  </si>
  <si>
    <t>だいす</t>
    <phoneticPr fontId="8"/>
  </si>
  <si>
    <t>しぶき</t>
    <phoneticPr fontId="8"/>
  </si>
  <si>
    <t>じーえ</t>
    <phoneticPr fontId="8"/>
  </si>
  <si>
    <t>とよな</t>
    <phoneticPr fontId="8"/>
  </si>
  <si>
    <t>にっぽ</t>
    <phoneticPr fontId="8"/>
  </si>
  <si>
    <t>せっか</t>
    <phoneticPr fontId="8"/>
  </si>
  <si>
    <t>ぶるー</t>
    <phoneticPr fontId="8"/>
  </si>
  <si>
    <t>だいな</t>
    <phoneticPr fontId="8"/>
  </si>
  <si>
    <t>ひりゅ</t>
    <phoneticPr fontId="8"/>
  </si>
  <si>
    <t>さんと</t>
    <phoneticPr fontId="8"/>
  </si>
  <si>
    <t>にっぽん未来プロジェクト競走 in 住之江</t>
    <phoneticPr fontId="8"/>
  </si>
  <si>
    <t>にっぽん未来プロジェクト競走ｉｎ住之江</t>
    <phoneticPr fontId="8"/>
  </si>
  <si>
    <t>れでぃ</t>
    <phoneticPr fontId="8"/>
  </si>
  <si>
    <t>たかま</t>
    <phoneticPr fontId="8"/>
  </si>
  <si>
    <t>ぼーと</t>
    <phoneticPr fontId="8"/>
  </si>
  <si>
    <t>りんく</t>
    <phoneticPr fontId="8"/>
  </si>
  <si>
    <t>すみの</t>
    <phoneticPr fontId="8"/>
  </si>
  <si>
    <t>くいー</t>
    <phoneticPr fontId="8"/>
  </si>
  <si>
    <t>あさひ</t>
    <phoneticPr fontId="8"/>
  </si>
  <si>
    <t>やまと</t>
    <phoneticPr fontId="8"/>
  </si>
  <si>
    <t>ほわい</t>
    <phoneticPr fontId="8"/>
  </si>
  <si>
    <t>もりし</t>
    <phoneticPr fontId="8"/>
  </si>
  <si>
    <t>さざん</t>
    <phoneticPr fontId="8"/>
  </si>
  <si>
    <t>じぶん</t>
    <phoneticPr fontId="8"/>
  </si>
  <si>
    <t>いっぱ</t>
    <phoneticPr fontId="8"/>
  </si>
  <si>
    <t>すかぱ</t>
    <phoneticPr fontId="8"/>
  </si>
  <si>
    <t>ゼミナール</t>
    <phoneticPr fontId="8"/>
  </si>
  <si>
    <t>表彰式</t>
    <rPh sb="0" eb="3">
      <t>ヒョウショウシキ</t>
    </rPh>
    <phoneticPr fontId="8"/>
  </si>
  <si>
    <t>式典一式</t>
    <rPh sb="0" eb="4">
      <t>シキテンイッシキ</t>
    </rPh>
    <phoneticPr fontId="8"/>
  </si>
  <si>
    <t>業務ID</t>
    <rPh sb="0" eb="2">
      <t>ギョウム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</si>
</sst>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日開催&quot;"/>
  </numFmts>
  <fonts count="14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0070C0"/>
      <name val="ＭＳ Ｐゴシック"/>
      <family val="2"/>
      <scheme val="minor"/>
    </font>
    <font>
      <sz val="11"/>
      <color rgb="FF0070C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7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9" fillId="0" borderId="0" xfId="0" applyFont="1"/>
    <xf numFmtId="0" fontId="10" fillId="0" borderId="0" xfId="0" applyFont="1"/>
    <xf numFmtId="0" fontId="6" fillId="0" borderId="1" xfId="1" applyBorder="1" applyAlignment="1">
      <alignment horizontal="center" vertical="center"/>
    </xf>
    <xf numFmtId="0" fontId="6" fillId="0" borderId="1" xfId="1" applyBorder="1" applyAlignment="1">
      <alignment horizontal="center" vertical="center" shrinkToFit="1"/>
    </xf>
    <xf numFmtId="0" fontId="6" fillId="0" borderId="1" xfId="1" applyBorder="1" applyAlignment="1">
      <alignment horizontal="left" vertical="center" shrinkToFit="1"/>
    </xf>
    <xf numFmtId="0" fontId="6" fillId="0" borderId="1" xfId="1" applyBorder="1" applyAlignment="1">
      <alignment horizontal="right" vertical="center"/>
    </xf>
    <xf numFmtId="38" fontId="0" fillId="0" borderId="1" xfId="2" applyFont="1" applyBorder="1" applyAlignment="1">
      <alignment horizontal="right" vertical="center"/>
    </xf>
    <xf numFmtId="38" fontId="0" fillId="0" borderId="1" xfId="2" applyFont="1" applyFill="1" applyBorder="1" applyAlignment="1">
      <alignment horizontal="right" vertical="center"/>
    </xf>
    <xf numFmtId="0" fontId="6" fillId="0" borderId="0" xfId="1">
      <alignment vertical="center"/>
    </xf>
    <xf numFmtId="0" fontId="6" fillId="0" borderId="0" xfId="1" applyAlignment="1">
      <alignment horizontal="center" vertical="center"/>
    </xf>
    <xf numFmtId="14" fontId="6" fillId="0" borderId="1" xfId="1" applyNumberFormat="1" applyBorder="1" applyAlignment="1">
      <alignment horizontal="center" vertical="center"/>
    </xf>
    <xf numFmtId="38" fontId="6" fillId="0" borderId="1" xfId="1" applyNumberFormat="1" applyBorder="1" applyAlignment="1">
      <alignment horizontal="right" vertical="center"/>
    </xf>
    <xf numFmtId="46" fontId="6" fillId="0" borderId="1" xfId="1" applyNumberFormat="1" applyBorder="1" applyAlignment="1">
      <alignment horizontal="center" vertical="center"/>
    </xf>
    <xf numFmtId="0" fontId="6" fillId="0" borderId="0" xfId="1" applyAlignment="1">
      <alignment horizontal="left" vertical="center" shrinkToFit="1"/>
    </xf>
    <xf numFmtId="0" fontId="6" fillId="0" borderId="0" xfId="1" applyAlignment="1">
      <alignment horizontal="right" vertical="center"/>
    </xf>
    <xf numFmtId="38" fontId="0" fillId="0" borderId="0" xfId="2" applyFont="1" applyAlignment="1">
      <alignment horizontal="right" vertical="center"/>
    </xf>
    <xf numFmtId="176" fontId="6" fillId="0" borderId="1" xfId="1" applyNumberFormat="1" applyBorder="1" applyAlignment="1">
      <alignment horizontal="center" vertical="center"/>
    </xf>
    <xf numFmtId="176" fontId="6" fillId="0" borderId="1" xfId="1" applyNumberFormat="1" applyBorder="1" applyAlignment="1">
      <alignment horizontal="center"/>
    </xf>
    <xf numFmtId="14" fontId="5" fillId="0" borderId="1" xfId="1" applyNumberFormat="1" applyFont="1" applyBorder="1" applyAlignment="1">
      <alignment horizontal="center" vertical="center"/>
    </xf>
    <xf numFmtId="0" fontId="4" fillId="0" borderId="0" xfId="1" applyFont="1">
      <alignment vertical="center"/>
    </xf>
    <xf numFmtId="0" fontId="3" fillId="0" borderId="1" xfId="1" applyFont="1" applyBorder="1" applyAlignment="1">
      <alignment horizontal="center" vertical="center" shrinkToFit="1"/>
    </xf>
    <xf numFmtId="0" fontId="6" fillId="3" borderId="1" xfId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shrinkToFit="1"/>
    </xf>
    <xf numFmtId="38" fontId="2" fillId="0" borderId="1" xfId="0" applyNumberFormat="1" applyFont="1" applyBorder="1" applyAlignment="1">
      <alignment horizontal="right" vertical="center"/>
    </xf>
    <xf numFmtId="0" fontId="6" fillId="4" borderId="1" xfId="1" applyFill="1" applyBorder="1" applyAlignment="1">
      <alignment horizontal="center" vertical="center" shrinkToFit="1"/>
    </xf>
    <xf numFmtId="0" fontId="6" fillId="5" borderId="1" xfId="1" applyFill="1" applyBorder="1" applyAlignment="1">
      <alignment horizontal="left" vertical="center" shrinkToFit="1"/>
    </xf>
    <xf numFmtId="38" fontId="6" fillId="0" borderId="0" xfId="1" applyNumberForma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176" fontId="1" fillId="0" borderId="1" xfId="0" applyNumberFormat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4" fontId="13" fillId="0" borderId="1" xfId="1" applyNumberFormat="1" applyFont="1" applyBorder="1" applyAlignment="1">
      <alignment horizontal="center" vertical="center"/>
    </xf>
    <xf numFmtId="176" fontId="13" fillId="0" borderId="1" xfId="1" applyNumberFormat="1" applyFont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 shrinkToFit="1"/>
    </xf>
    <xf numFmtId="0" fontId="13" fillId="0" borderId="1" xfId="1" applyFont="1" applyBorder="1" applyAlignment="1">
      <alignment horizontal="left" vertical="center" shrinkToFit="1"/>
    </xf>
    <xf numFmtId="38" fontId="13" fillId="0" borderId="1" xfId="1" applyNumberFormat="1" applyFont="1" applyBorder="1" applyAlignment="1">
      <alignment horizontal="right" vertical="center"/>
    </xf>
    <xf numFmtId="38" fontId="13" fillId="0" borderId="1" xfId="2" applyFont="1" applyBorder="1" applyAlignment="1">
      <alignment horizontal="right" vertical="center"/>
    </xf>
    <xf numFmtId="38" fontId="13" fillId="0" borderId="1" xfId="2" applyFont="1" applyFill="1" applyBorder="1" applyAlignment="1">
      <alignment horizontal="right" vertical="center"/>
    </xf>
    <xf numFmtId="0" fontId="13" fillId="5" borderId="1" xfId="1" applyFont="1" applyFill="1" applyBorder="1" applyAlignment="1">
      <alignment horizontal="left" vertical="center" shrinkToFit="1"/>
    </xf>
    <xf numFmtId="0" fontId="13" fillId="0" borderId="1" xfId="1" applyFont="1" applyBorder="1" applyAlignment="1">
      <alignment horizontal="center" vertical="center" shrinkToFit="1"/>
    </xf>
    <xf numFmtId="0" fontId="13" fillId="3" borderId="1" xfId="1" applyFont="1" applyFill="1" applyBorder="1" applyAlignment="1">
      <alignment horizontal="center" vertical="center"/>
    </xf>
    <xf numFmtId="46" fontId="13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right" vertical="center"/>
    </xf>
    <xf numFmtId="38" fontId="12" fillId="0" borderId="1" xfId="2" applyFont="1" applyBorder="1" applyAlignment="1">
      <alignment horizontal="right" vertical="center"/>
    </xf>
    <xf numFmtId="38" fontId="12" fillId="0" borderId="1" xfId="2" applyFont="1" applyFill="1" applyBorder="1" applyAlignment="1">
      <alignment horizontal="right" vertical="center"/>
    </xf>
    <xf numFmtId="0" fontId="1" fillId="0" borderId="0" xfId="1" applyFont="1" applyAlignment="1">
      <alignment horizontal="right" vertical="center"/>
    </xf>
    <xf numFmtId="38" fontId="12" fillId="0" borderId="0" xfId="2" applyFont="1" applyAlignment="1">
      <alignment horizontal="right" vertical="center"/>
    </xf>
    <xf numFmtId="0" fontId="13" fillId="6" borderId="1" xfId="1" applyFont="1" applyFill="1" applyBorder="1" applyAlignment="1">
      <alignment horizontal="center" vertical="center" shrinkToFit="1"/>
    </xf>
    <xf numFmtId="0" fontId="13" fillId="2" borderId="1" xfId="1" applyFont="1" applyFill="1" applyBorder="1" applyAlignment="1">
      <alignment horizontal="center" vertical="center" shrinkToFit="1"/>
    </xf>
    <xf numFmtId="0" fontId="1" fillId="0" borderId="1" xfId="1" applyFont="1" applyBorder="1" applyAlignment="1">
      <alignment horizontal="center" vertical="center"/>
    </xf>
    <xf numFmtId="38" fontId="13" fillId="0" borderId="1" xfId="0" applyNumberFormat="1" applyFont="1" applyBorder="1" applyAlignment="1">
      <alignment horizontal="right" vertical="center"/>
    </xf>
  </cellXfs>
  <cellStyles count="3">
    <cellStyle name="桁区切り 2" xfId="2" xr:uid="{15785AD2-E49B-482B-B684-FDC9DCD9E260}"/>
    <cellStyle name="標準" xfId="0" builtinId="0"/>
    <cellStyle name="標準 2" xfId="1" xr:uid="{215E6649-DE22-4F24-A9B1-6ED21F52EC83}"/>
  </cellStyles>
  <dxfs count="68">
    <dxf>
      <font>
        <color theme="0"/>
      </font>
      <fill>
        <patternFill>
          <bgColor rgb="FF3399FF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numFmt numFmtId="6" formatCode="#,##0;[Red]\-#,##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6" formatCode="#,##0;[Red]\-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numFmt numFmtId="6" formatCode="#,##0;[Red]\-#,##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numFmt numFmtId="6" formatCode="#,##0;[Red]\-#,##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6" formatCode="#,##0;[Red]\-#,##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lef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numFmt numFmtId="31" formatCode="[h]:mm:ss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numFmt numFmtId="31" formatCode="[h]:mm:ss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numFmt numFmtId="6" formatCode="#,##0;[Red]\-#,##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numFmt numFmtId="6" formatCode="#,##0;[Red]\-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numFmt numFmtId="6" formatCode="#,##0;[Red]\-#,##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numFmt numFmtId="6" formatCode="#,##0;[Red]\-#,##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lef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numFmt numFmtId="176" formatCode="0&quot;日開催&quot;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numFmt numFmtId="31" formatCode="[h]:mm:ss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numFmt numFmtId="31" formatCode="[h]:mm:ss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fill>
        <patternFill patternType="none">
          <fgColor rgb="FF000000"/>
          <bgColor auto="1"/>
        </patternFill>
      </fill>
      <alignment vertical="center" textRotation="0" wrapText="0" indent="0" justifyLastLine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3399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A9E0AF-CF61-457F-BD01-8464C0448306}" name="テーブル223" displayName="テーブル223" ref="A1:N75" totalsRowCount="1" headerRowDxfId="67" dataDxfId="66" totalsRowDxfId="65">
  <autoFilter ref="A1:N74" xr:uid="{50FD12BB-8169-4555-B267-D9349F7A6D1D}"/>
  <tableColumns count="14">
    <tableColumn id="1" xr3:uid="{70664481-AC67-4D50-BE69-81DB003999E0}" name="開催ID" dataDxfId="64" totalsRowDxfId="63"/>
    <tableColumn id="14" xr3:uid="{A084BAC2-3BC1-483C-9447-5E977C18BFBA}" name="業務ID" dataDxfId="62" totalsRowDxfId="61" dataCellStyle="標準 2"/>
    <tableColumn id="2" xr3:uid="{306DDBEA-1EF4-4002-A997-6448332C6F70}" name="日程" dataDxfId="60" totalsRowDxfId="59"/>
    <tableColumn id="10" xr3:uid="{9611D1F0-C7EE-417C-9C25-1CD145FF48C3}" name="終了日" dataDxfId="58" totalsRowDxfId="57"/>
    <tableColumn id="12" xr3:uid="{8CB3449C-03F8-4EBD-A34C-0A141E1ED9C4}" name="month" dataDxfId="56" totalsRowDxfId="55"/>
    <tableColumn id="13" xr3:uid="{8B84734E-DB57-470C-8763-E3F34AE94D47}" name="列1" totalsRowFunction="sum" dataDxfId="54" totalsRowDxfId="53" dataCellStyle="標準 2">
      <calculatedColumnFormula>テーブル223[[#This Row],[終了日]]-テーブル223[[#This Row],[日程]]+1</calculatedColumnFormula>
    </tableColumn>
    <tableColumn id="3" xr3:uid="{6617B018-F709-459D-AEE7-D3DA46E2309C}" name="主催" dataDxfId="52" totalsRowDxfId="51"/>
    <tableColumn id="4" xr3:uid="{D461811F-6AA9-46CD-BC0A-A4D91B6C18FF}" name="項目" dataDxfId="50" totalsRowDxfId="49"/>
    <tableColumn id="5" xr3:uid="{D3DBDDD0-495B-4BC8-AEF0-49C12864AF8B}" name="タイトル" dataDxfId="48" totalsRowDxfId="47"/>
    <tableColumn id="6" xr3:uid="{8BFF0A34-B895-44F3-850F-7FC5C1B4C993}" name="日数" totalsRowFunction="sum" dataDxfId="46" totalsRowDxfId="45"/>
    <tableColumn id="7" xr3:uid="{17E0C3B9-4001-4E46-B416-56E4D2FBD9CE}" name="種別" dataDxfId="44" totalsRowDxfId="43"/>
    <tableColumn id="9" xr3:uid="{DE283939-BC7D-4F6F-8F7C-64D31F02A35E}" name="消費税" totalsRowFunction="sum" dataDxfId="42" totalsRowDxfId="41">
      <calculatedColumnFormula>テーブル223[[#This Row],[税込み価格]]-テーブル223[[#This Row],[税抜き]]</calculatedColumnFormula>
    </tableColumn>
    <tableColumn id="8" xr3:uid="{72FF7AE8-4890-4761-B8A5-589C3E3703C1}" name="税抜き" totalsRowFunction="sum" dataDxfId="40" totalsRowDxfId="39">
      <calculatedColumnFormula>テーブル223[[#This Row],[税込み価格]]/1.1</calculatedColumnFormula>
    </tableColumn>
    <tableColumn id="11" xr3:uid="{AC026416-396E-46EA-9A48-B66EB24171FF}" name="税込み価格" totalsRowFunction="sum" dataDxfId="38" totalsRowDxfId="3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85314-554D-4DED-9103-9AFB1B15F7DD}" name="テーブル22" displayName="テーブル22" ref="A1:M55" totalsRowCount="1" headerRowDxfId="36" dataDxfId="35">
  <autoFilter ref="A1:M54" xr:uid="{50FD12BB-8169-4555-B267-D9349F7A6D1D}"/>
  <tableColumns count="13">
    <tableColumn id="1" xr3:uid="{9E568614-20E1-47AC-AD59-15A78E236FC7}" name="開催ID" dataDxfId="34" totalsRowDxfId="33"/>
    <tableColumn id="2" xr3:uid="{CFEF8322-2F18-4F51-8172-16846C9F03EA}" name="日程" dataDxfId="32" totalsRowDxfId="31"/>
    <tableColumn id="10" xr3:uid="{CDAD380B-9E9B-41DC-B85D-F599A9598072}" name="終了日" dataDxfId="30" totalsRowDxfId="29"/>
    <tableColumn id="12" xr3:uid="{39A62F03-CACC-4B66-B8C4-A77686616B2C}" name="month" totalsRowDxfId="28"/>
    <tableColumn id="13" xr3:uid="{018A81CC-8EEF-4DFE-8BA8-4B177DF4B678}" name="列1" dataDxfId="27" totalsRowDxfId="26" dataCellStyle="標準 2">
      <calculatedColumnFormula>テーブル22[[#This Row],[終了日]]-テーブル22[[#This Row],[日程]]+1</calculatedColumnFormula>
    </tableColumn>
    <tableColumn id="3" xr3:uid="{E4683786-7DDE-43DD-BF85-F91F3AA04A3A}" name="主催" dataDxfId="25" totalsRowDxfId="24"/>
    <tableColumn id="4" xr3:uid="{68B317DF-A760-4D6A-B716-1AF064FADD0D}" name="項目" dataDxfId="23" totalsRowDxfId="22"/>
    <tableColumn id="5" xr3:uid="{9A7CACD4-D4C8-4916-AE6F-ABB271D46E0F}" name="タイトル" dataDxfId="21" totalsRowDxfId="20"/>
    <tableColumn id="6" xr3:uid="{F0A435D9-CA58-4758-807F-C3E9E8FA927A}" name="日数" totalsRowFunction="sum" dataDxfId="19" totalsRowDxfId="18"/>
    <tableColumn id="7" xr3:uid="{404EB19E-836E-444C-BF09-A3E2AAF35078}" name="種別" dataDxfId="17" totalsRowDxfId="16"/>
    <tableColumn id="9" xr3:uid="{9E6B8E57-7167-40EB-B4FB-2DD4C667DAC0}" name="消費税" dataDxfId="15" totalsRowDxfId="14">
      <calculatedColumnFormula>テーブル22[[#This Row],[税込み価格]]-テーブル22[[#This Row],[税抜き]]</calculatedColumnFormula>
    </tableColumn>
    <tableColumn id="8" xr3:uid="{507F79EA-31EA-4FA5-BFAA-DE131146D7B4}" name="税抜き" dataDxfId="13" totalsRowDxfId="12">
      <calculatedColumnFormula>テーブル22[[#This Row],[税込み価格]]/1.1</calculatedColumnFormula>
    </tableColumn>
    <tableColumn id="11" xr3:uid="{1F6086C2-A446-4CBA-BFE4-F86DA1702E3C}" name="税込み価格" totalsRowFunction="sum" dataDxfId="11" totalsRow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2492-F01A-4EE8-AEC0-D8F56F3950AD}">
  <sheetPr>
    <pageSetUpPr fitToPage="1"/>
  </sheetPr>
  <dimension ref="A1:N75"/>
  <sheetViews>
    <sheetView tabSelected="1" view="pageBreakPreview" zoomScale="70" zoomScaleNormal="100" zoomScaleSheetLayoutView="70" workbookViewId="0">
      <selection activeCell="D24" sqref="D24"/>
    </sheetView>
  </sheetViews>
  <sheetFormatPr defaultRowHeight="13.5" x14ac:dyDescent="0.15"/>
  <cols>
    <col min="1" max="2" width="9" style="15"/>
    <col min="3" max="4" width="12.625" style="15" customWidth="1"/>
    <col min="5" max="5" width="5.25" style="15" customWidth="1"/>
    <col min="6" max="6" width="10.5" style="15" customWidth="1"/>
    <col min="7" max="8" width="9" style="15"/>
    <col min="9" max="9" width="73.25" style="19" customWidth="1"/>
    <col min="10" max="11" width="6.75" style="15" hidden="1" customWidth="1"/>
    <col min="12" max="12" width="14.375" style="52" customWidth="1"/>
    <col min="13" max="14" width="14.375" style="53" customWidth="1"/>
    <col min="15" max="15" width="2.5" style="14" customWidth="1"/>
    <col min="16" max="16384" width="9" style="14"/>
  </cols>
  <sheetData>
    <row r="1" spans="1:14" ht="21" customHeight="1" x14ac:dyDescent="0.15">
      <c r="A1" s="8" t="s">
        <v>82</v>
      </c>
      <c r="B1" s="56" t="s">
        <v>168</v>
      </c>
      <c r="C1" s="8" t="s">
        <v>83</v>
      </c>
      <c r="D1" s="8" t="s">
        <v>84</v>
      </c>
      <c r="E1" s="9" t="s">
        <v>85</v>
      </c>
      <c r="F1" s="9" t="s">
        <v>96</v>
      </c>
      <c r="G1" s="8" t="s">
        <v>86</v>
      </c>
      <c r="H1" s="8" t="s">
        <v>87</v>
      </c>
      <c r="I1" s="10" t="s">
        <v>88</v>
      </c>
      <c r="J1" s="8" t="s">
        <v>89</v>
      </c>
      <c r="K1" s="8" t="s">
        <v>90</v>
      </c>
      <c r="L1" s="49" t="s">
        <v>91</v>
      </c>
      <c r="M1" s="50" t="s">
        <v>92</v>
      </c>
      <c r="N1" s="51" t="s">
        <v>93</v>
      </c>
    </row>
    <row r="2" spans="1:14" ht="21.75" customHeight="1" x14ac:dyDescent="0.15">
      <c r="A2" s="37">
        <v>1</v>
      </c>
      <c r="B2" s="37">
        <v>1</v>
      </c>
      <c r="C2" s="38">
        <v>46115</v>
      </c>
      <c r="D2" s="38">
        <v>46120</v>
      </c>
      <c r="E2" s="37">
        <v>4</v>
      </c>
      <c r="F2" s="39">
        <f>テーブル223[[#This Row],[終了日]]-テーブル223[[#This Row],[日程]]+1</f>
        <v>6</v>
      </c>
      <c r="G2" s="37" t="s">
        <v>81</v>
      </c>
      <c r="H2" s="40" t="s">
        <v>94</v>
      </c>
      <c r="I2" s="41" t="s">
        <v>35</v>
      </c>
      <c r="J2" s="37">
        <f>テーブル223[[#This Row],[終了日]]-テーブル223[[#This Row],[日程]]+1</f>
        <v>6</v>
      </c>
      <c r="K2" s="37">
        <v>10</v>
      </c>
      <c r="L2" s="42">
        <f>テーブル223[[#This Row],[税込み価格]]-テーブル223[[#This Row],[税抜き]]</f>
        <v>321002.00000000047</v>
      </c>
      <c r="M2" s="43">
        <f>テーブル223[[#This Row],[税込み価格]]/1.1</f>
        <v>3210019.9999999995</v>
      </c>
      <c r="N2" s="44">
        <v>3531022</v>
      </c>
    </row>
    <row r="3" spans="1:14" ht="21.75" customHeight="1" x14ac:dyDescent="0.15">
      <c r="A3" s="37">
        <v>1</v>
      </c>
      <c r="B3" s="37">
        <v>2</v>
      </c>
      <c r="C3" s="38">
        <v>46115</v>
      </c>
      <c r="D3" s="38">
        <v>46120</v>
      </c>
      <c r="E3" s="37">
        <v>4</v>
      </c>
      <c r="F3" s="39"/>
      <c r="G3" s="37" t="s">
        <v>81</v>
      </c>
      <c r="H3" s="55" t="s">
        <v>167</v>
      </c>
      <c r="I3" s="45" t="s">
        <v>35</v>
      </c>
      <c r="J3" s="37"/>
      <c r="K3" s="37"/>
      <c r="L3" s="42">
        <f>テーブル223[[#This Row],[税込み価格]]-テーブル223[[#This Row],[税抜き]]</f>
        <v>272727.27272727294</v>
      </c>
      <c r="M3" s="43">
        <f>テーブル223[[#This Row],[税込み価格]]/1.1</f>
        <v>2727272.7272727271</v>
      </c>
      <c r="N3" s="44">
        <v>3000000</v>
      </c>
    </row>
    <row r="4" spans="1:14" ht="21.75" customHeight="1" x14ac:dyDescent="0.15">
      <c r="A4" s="37">
        <v>2</v>
      </c>
      <c r="B4" s="37">
        <v>3</v>
      </c>
      <c r="C4" s="38">
        <v>46128</v>
      </c>
      <c r="D4" s="38">
        <v>46132</v>
      </c>
      <c r="E4" s="37">
        <v>4</v>
      </c>
      <c r="F4" s="39">
        <f>テーブル223[[#This Row],[終了日]]-テーブル223[[#This Row],[日程]]+1</f>
        <v>5</v>
      </c>
      <c r="G4" s="37" t="s">
        <v>80</v>
      </c>
      <c r="H4" s="40" t="s">
        <v>94</v>
      </c>
      <c r="I4" s="41" t="s">
        <v>57</v>
      </c>
      <c r="J4" s="37">
        <f>テーブル223[[#This Row],[終了日]]-テーブル223[[#This Row],[日程]]+1</f>
        <v>5</v>
      </c>
      <c r="K4" s="37">
        <v>5</v>
      </c>
      <c r="L4" s="42">
        <f>テーブル223[[#This Row],[税込み価格]]-テーブル223[[#This Row],[税抜き]]</f>
        <v>221924.90909090918</v>
      </c>
      <c r="M4" s="43">
        <f>テーブル223[[#This Row],[税込み価格]]/1.1</f>
        <v>2219249.0909090908</v>
      </c>
      <c r="N4" s="44">
        <v>2441174</v>
      </c>
    </row>
    <row r="5" spans="1:14" ht="21.75" customHeight="1" x14ac:dyDescent="0.15">
      <c r="A5" s="37">
        <v>2</v>
      </c>
      <c r="B5" s="37">
        <v>4</v>
      </c>
      <c r="C5" s="38">
        <v>46128</v>
      </c>
      <c r="D5" s="38">
        <v>46132</v>
      </c>
      <c r="E5" s="37">
        <v>4</v>
      </c>
      <c r="F5" s="39"/>
      <c r="G5" s="37" t="s">
        <v>80</v>
      </c>
      <c r="H5" s="46" t="s">
        <v>165</v>
      </c>
      <c r="I5" s="41" t="s">
        <v>57</v>
      </c>
      <c r="J5" s="37"/>
      <c r="K5" s="37"/>
      <c r="L5" s="42">
        <f>テーブル223[[#This Row],[税込み価格]]-テーブル223[[#This Row],[税抜き]]</f>
        <v>33750</v>
      </c>
      <c r="M5" s="43">
        <f>テーブル223[[#This Row],[税込み価格]]/1.1</f>
        <v>337500</v>
      </c>
      <c r="N5" s="44">
        <v>371250</v>
      </c>
    </row>
    <row r="6" spans="1:14" ht="21.75" customHeight="1" x14ac:dyDescent="0.15">
      <c r="A6" s="37">
        <v>3</v>
      </c>
      <c r="B6" s="37">
        <v>5</v>
      </c>
      <c r="C6" s="38">
        <v>46135</v>
      </c>
      <c r="D6" s="38">
        <v>46141</v>
      </c>
      <c r="E6" s="37">
        <v>4</v>
      </c>
      <c r="F6" s="39">
        <f>テーブル223[[#This Row],[終了日]]-テーブル223[[#This Row],[日程]]+1</f>
        <v>7</v>
      </c>
      <c r="G6" s="37" t="s">
        <v>81</v>
      </c>
      <c r="H6" s="40" t="s">
        <v>94</v>
      </c>
      <c r="I6" s="41" t="s">
        <v>36</v>
      </c>
      <c r="J6" s="37">
        <f>テーブル223[[#This Row],[終了日]]-テーブル223[[#This Row],[日程]]+1</f>
        <v>7</v>
      </c>
      <c r="K6" s="37">
        <v>5</v>
      </c>
      <c r="L6" s="42">
        <f>テーブル223[[#This Row],[税込み価格]]-テーブル223[[#This Row],[税抜き]]</f>
        <v>339559.00000000047</v>
      </c>
      <c r="M6" s="43">
        <f>テーブル223[[#This Row],[税込み価格]]/1.1</f>
        <v>3395589.9999999995</v>
      </c>
      <c r="N6" s="44">
        <v>3735149</v>
      </c>
    </row>
    <row r="7" spans="1:14" ht="21.75" customHeight="1" x14ac:dyDescent="0.15">
      <c r="A7" s="37">
        <v>3</v>
      </c>
      <c r="B7" s="37">
        <v>6</v>
      </c>
      <c r="C7" s="38">
        <v>46135</v>
      </c>
      <c r="D7" s="38">
        <v>46141</v>
      </c>
      <c r="E7" s="37">
        <v>4</v>
      </c>
      <c r="F7" s="39"/>
      <c r="G7" s="37" t="s">
        <v>81</v>
      </c>
      <c r="H7" s="54" t="s">
        <v>166</v>
      </c>
      <c r="I7" s="45" t="s">
        <v>36</v>
      </c>
      <c r="J7" s="37"/>
      <c r="K7" s="37"/>
      <c r="L7" s="42">
        <f>テーブル223[[#This Row],[税込み価格]]-テーブル223[[#This Row],[税抜き]]</f>
        <v>2750.0000000000036</v>
      </c>
      <c r="M7" s="43">
        <f>テーブル223[[#This Row],[税込み価格]]/1.1</f>
        <v>27499.999999999996</v>
      </c>
      <c r="N7" s="44">
        <v>30250</v>
      </c>
    </row>
    <row r="8" spans="1:14" ht="21.75" customHeight="1" x14ac:dyDescent="0.15">
      <c r="A8" s="37">
        <v>4</v>
      </c>
      <c r="B8" s="37">
        <v>7</v>
      </c>
      <c r="C8" s="38">
        <v>46145</v>
      </c>
      <c r="D8" s="38">
        <v>46150</v>
      </c>
      <c r="E8" s="37">
        <v>5</v>
      </c>
      <c r="F8" s="39">
        <f>テーブル223[[#This Row],[終了日]]-テーブル223[[#This Row],[日程]]+1</f>
        <v>6</v>
      </c>
      <c r="G8" s="37" t="s">
        <v>80</v>
      </c>
      <c r="H8" s="40" t="s">
        <v>94</v>
      </c>
      <c r="I8" s="41" t="s">
        <v>58</v>
      </c>
      <c r="J8" s="37">
        <f>テーブル223[[#This Row],[終了日]]-テーブル223[[#This Row],[日程]]+1</f>
        <v>6</v>
      </c>
      <c r="K8" s="37">
        <v>9</v>
      </c>
      <c r="L8" s="42">
        <f>テーブル223[[#This Row],[税込み価格]]-テーブル223[[#This Row],[税抜き]]</f>
        <v>272711.90909090918</v>
      </c>
      <c r="M8" s="43">
        <f>テーブル223[[#This Row],[税込み価格]]/1.1</f>
        <v>2727119.0909090908</v>
      </c>
      <c r="N8" s="44">
        <v>2999831</v>
      </c>
    </row>
    <row r="9" spans="1:14" ht="21.75" customHeight="1" x14ac:dyDescent="0.15">
      <c r="A9" s="37">
        <v>4</v>
      </c>
      <c r="B9" s="37">
        <v>8</v>
      </c>
      <c r="C9" s="38">
        <v>46145</v>
      </c>
      <c r="D9" s="38">
        <v>46150</v>
      </c>
      <c r="E9" s="37">
        <v>5</v>
      </c>
      <c r="F9" s="39"/>
      <c r="G9" s="37" t="s">
        <v>80</v>
      </c>
      <c r="H9" s="46" t="s">
        <v>165</v>
      </c>
      <c r="I9" s="41" t="s">
        <v>58</v>
      </c>
      <c r="J9" s="37"/>
      <c r="K9" s="37"/>
      <c r="L9" s="42">
        <f>テーブル223[[#This Row],[税込み価格]]-テーブル223[[#This Row],[税抜き]]</f>
        <v>70200</v>
      </c>
      <c r="M9" s="43">
        <f>テーブル223[[#This Row],[税込み価格]]/1.1</f>
        <v>702000</v>
      </c>
      <c r="N9" s="44">
        <v>772200</v>
      </c>
    </row>
    <row r="10" spans="1:14" ht="21.75" customHeight="1" x14ac:dyDescent="0.15">
      <c r="A10" s="37">
        <v>4</v>
      </c>
      <c r="B10" s="37">
        <v>9</v>
      </c>
      <c r="C10" s="38">
        <v>46145</v>
      </c>
      <c r="D10" s="38">
        <v>46150</v>
      </c>
      <c r="E10" s="37">
        <v>5</v>
      </c>
      <c r="F10" s="39"/>
      <c r="G10" s="37" t="s">
        <v>80</v>
      </c>
      <c r="H10" s="55" t="s">
        <v>167</v>
      </c>
      <c r="I10" s="45" t="s">
        <v>58</v>
      </c>
      <c r="J10" s="37"/>
      <c r="K10" s="37"/>
      <c r="L10" s="42">
        <f>テーブル223[[#This Row],[税込み価格]]-テーブル223[[#This Row],[税抜き]]</f>
        <v>45454.54545454547</v>
      </c>
      <c r="M10" s="43">
        <f>テーブル223[[#This Row],[税込み価格]]/1.1</f>
        <v>454545.45454545453</v>
      </c>
      <c r="N10" s="44">
        <v>500000</v>
      </c>
    </row>
    <row r="11" spans="1:14" ht="21.75" customHeight="1" x14ac:dyDescent="0.15">
      <c r="A11" s="37">
        <v>5</v>
      </c>
      <c r="B11" s="37">
        <v>10</v>
      </c>
      <c r="C11" s="38">
        <v>46153</v>
      </c>
      <c r="D11" s="38">
        <v>46156</v>
      </c>
      <c r="E11" s="37">
        <v>5</v>
      </c>
      <c r="F11" s="39">
        <f>テーブル223[[#This Row],[終了日]]-テーブル223[[#This Row],[日程]]+1</f>
        <v>4</v>
      </c>
      <c r="G11" s="37" t="s">
        <v>81</v>
      </c>
      <c r="H11" s="40" t="s">
        <v>94</v>
      </c>
      <c r="I11" s="41" t="s">
        <v>37</v>
      </c>
      <c r="J11" s="37">
        <f>テーブル223[[#This Row],[終了日]]-テーブル223[[#This Row],[日程]]+1</f>
        <v>4</v>
      </c>
      <c r="K11" s="37">
        <v>2</v>
      </c>
      <c r="L11" s="42">
        <f>テーブル223[[#This Row],[税込み価格]]-テーブル223[[#This Row],[税抜き]]</f>
        <v>199848.00000000023</v>
      </c>
      <c r="M11" s="43">
        <f>テーブル223[[#This Row],[税込み価格]]/1.1</f>
        <v>1998479.9999999998</v>
      </c>
      <c r="N11" s="44">
        <v>2198328</v>
      </c>
    </row>
    <row r="12" spans="1:14" ht="21.75" customHeight="1" x14ac:dyDescent="0.15">
      <c r="A12" s="37">
        <v>5</v>
      </c>
      <c r="B12" s="37">
        <v>11</v>
      </c>
      <c r="C12" s="38">
        <v>46153</v>
      </c>
      <c r="D12" s="38">
        <v>46156</v>
      </c>
      <c r="E12" s="37">
        <v>5</v>
      </c>
      <c r="F12" s="39"/>
      <c r="G12" s="37" t="s">
        <v>81</v>
      </c>
      <c r="H12" s="54" t="s">
        <v>166</v>
      </c>
      <c r="I12" s="45" t="s">
        <v>37</v>
      </c>
      <c r="J12" s="37"/>
      <c r="K12" s="37"/>
      <c r="L12" s="42">
        <f>テーブル223[[#This Row],[税込み価格]]-テーブル223[[#This Row],[税抜き]]</f>
        <v>2750.0000000000036</v>
      </c>
      <c r="M12" s="43">
        <f>テーブル223[[#This Row],[税込み価格]]/1.1</f>
        <v>27499.999999999996</v>
      </c>
      <c r="N12" s="44">
        <v>30250</v>
      </c>
    </row>
    <row r="13" spans="1:14" ht="21.75" customHeight="1" x14ac:dyDescent="0.15">
      <c r="A13" s="37">
        <v>6</v>
      </c>
      <c r="B13" s="37">
        <v>12</v>
      </c>
      <c r="C13" s="38">
        <v>46165</v>
      </c>
      <c r="D13" s="38">
        <v>46169</v>
      </c>
      <c r="E13" s="37">
        <v>5</v>
      </c>
      <c r="F13" s="39">
        <f>テーブル223[[#This Row],[終了日]]-テーブル223[[#This Row],[日程]]+1</f>
        <v>5</v>
      </c>
      <c r="G13" s="37" t="s">
        <v>81</v>
      </c>
      <c r="H13" s="40" t="s">
        <v>94</v>
      </c>
      <c r="I13" s="41" t="s">
        <v>38</v>
      </c>
      <c r="J13" s="37">
        <f>テーブル223[[#This Row],[終了日]]-テーブル223[[#This Row],[日程]]+1</f>
        <v>5</v>
      </c>
      <c r="K13" s="37">
        <v>10</v>
      </c>
      <c r="L13" s="42">
        <f>テーブル223[[#This Row],[税込み価格]]-テーブル223[[#This Row],[税抜き]]</f>
        <v>255585</v>
      </c>
      <c r="M13" s="44">
        <f>テーブル223[[#This Row],[税込み価格]]/1.1</f>
        <v>2555850</v>
      </c>
      <c r="N13" s="44">
        <v>2811435</v>
      </c>
    </row>
    <row r="14" spans="1:14" ht="21.75" customHeight="1" x14ac:dyDescent="0.15">
      <c r="A14" s="37">
        <v>6</v>
      </c>
      <c r="B14" s="37">
        <v>13</v>
      </c>
      <c r="C14" s="38">
        <v>46165</v>
      </c>
      <c r="D14" s="38">
        <v>46169</v>
      </c>
      <c r="E14" s="37">
        <v>5</v>
      </c>
      <c r="F14" s="39"/>
      <c r="G14" s="37" t="s">
        <v>81</v>
      </c>
      <c r="H14" s="54" t="s">
        <v>166</v>
      </c>
      <c r="I14" s="45" t="s">
        <v>38</v>
      </c>
      <c r="J14" s="37"/>
      <c r="K14" s="37"/>
      <c r="L14" s="42">
        <f>テーブル223[[#This Row],[税込み価格]]-テーブル223[[#This Row],[税抜き]]</f>
        <v>2750.0000000000036</v>
      </c>
      <c r="M14" s="44">
        <f>テーブル223[[#This Row],[税込み価格]]/1.1</f>
        <v>27499.999999999996</v>
      </c>
      <c r="N14" s="44">
        <v>30250</v>
      </c>
    </row>
    <row r="15" spans="1:14" ht="21.75" customHeight="1" x14ac:dyDescent="0.15">
      <c r="A15" s="37">
        <v>7</v>
      </c>
      <c r="B15" s="37">
        <v>14</v>
      </c>
      <c r="C15" s="38">
        <v>46172</v>
      </c>
      <c r="D15" s="38">
        <v>46176</v>
      </c>
      <c r="E15" s="37">
        <v>6</v>
      </c>
      <c r="F15" s="39">
        <f>テーブル223[[#This Row],[終了日]]-テーブル223[[#This Row],[日程]]+1</f>
        <v>5</v>
      </c>
      <c r="G15" s="37" t="s">
        <v>81</v>
      </c>
      <c r="H15" s="40" t="s">
        <v>94</v>
      </c>
      <c r="I15" s="41" t="s">
        <v>39</v>
      </c>
      <c r="J15" s="37">
        <f>テーブル223[[#This Row],[終了日]]-テーブル223[[#This Row],[日程]]+1</f>
        <v>5</v>
      </c>
      <c r="K15" s="37">
        <v>3</v>
      </c>
      <c r="L15" s="42">
        <f>テーブル223[[#This Row],[税込み価格]]-テーブル223[[#This Row],[税抜き]]</f>
        <v>255585</v>
      </c>
      <c r="M15" s="44">
        <f>テーブル223[[#This Row],[税込み価格]]/1.1</f>
        <v>2555850</v>
      </c>
      <c r="N15" s="44">
        <v>2811435</v>
      </c>
    </row>
    <row r="16" spans="1:14" ht="21.75" customHeight="1" x14ac:dyDescent="0.15">
      <c r="A16" s="37">
        <v>7</v>
      </c>
      <c r="B16" s="37">
        <v>15</v>
      </c>
      <c r="C16" s="38">
        <v>46172</v>
      </c>
      <c r="D16" s="38">
        <v>46176</v>
      </c>
      <c r="E16" s="37">
        <v>6</v>
      </c>
      <c r="F16" s="39"/>
      <c r="G16" s="37" t="s">
        <v>81</v>
      </c>
      <c r="H16" s="54" t="s">
        <v>166</v>
      </c>
      <c r="I16" s="45" t="s">
        <v>39</v>
      </c>
      <c r="J16" s="37"/>
      <c r="K16" s="37"/>
      <c r="L16" s="42">
        <f>テーブル223[[#This Row],[税込み価格]]-テーブル223[[#This Row],[税抜き]]</f>
        <v>2750.0000000000036</v>
      </c>
      <c r="M16" s="44">
        <f>テーブル223[[#This Row],[税込み価格]]/1.1</f>
        <v>27499.999999999996</v>
      </c>
      <c r="N16" s="44">
        <v>30250</v>
      </c>
    </row>
    <row r="17" spans="1:14" ht="21.75" customHeight="1" x14ac:dyDescent="0.15">
      <c r="A17" s="37">
        <v>8</v>
      </c>
      <c r="B17" s="37">
        <v>16</v>
      </c>
      <c r="C17" s="38">
        <v>46187</v>
      </c>
      <c r="D17" s="38">
        <v>46190</v>
      </c>
      <c r="E17" s="37">
        <v>6</v>
      </c>
      <c r="F17" s="39">
        <f>テーブル223[[#This Row],[終了日]]-テーブル223[[#This Row],[日程]]+1</f>
        <v>4</v>
      </c>
      <c r="G17" s="37" t="s">
        <v>80</v>
      </c>
      <c r="H17" s="40" t="s">
        <v>94</v>
      </c>
      <c r="I17" s="41" t="s">
        <v>59</v>
      </c>
      <c r="J17" s="37">
        <f>テーブル223[[#This Row],[終了日]]-テーブル223[[#This Row],[日程]]+1</f>
        <v>4</v>
      </c>
      <c r="K17" s="37">
        <v>5</v>
      </c>
      <c r="L17" s="42">
        <f>テーブル223[[#This Row],[税込み価格]]-テーブル223[[#This Row],[税抜き]]</f>
        <v>179937.90909090918</v>
      </c>
      <c r="M17" s="44">
        <f>テーブル223[[#This Row],[税込み価格]]/1.1</f>
        <v>1799379.0909090908</v>
      </c>
      <c r="N17" s="44">
        <v>1979317</v>
      </c>
    </row>
    <row r="18" spans="1:14" ht="21.75" customHeight="1" x14ac:dyDescent="0.15">
      <c r="A18" s="37">
        <v>8</v>
      </c>
      <c r="B18" s="37">
        <v>17</v>
      </c>
      <c r="C18" s="38">
        <v>46187</v>
      </c>
      <c r="D18" s="38">
        <v>46190</v>
      </c>
      <c r="E18" s="37">
        <v>6</v>
      </c>
      <c r="F18" s="39"/>
      <c r="G18" s="37" t="s">
        <v>80</v>
      </c>
      <c r="H18" s="46" t="s">
        <v>165</v>
      </c>
      <c r="I18" s="41" t="s">
        <v>59</v>
      </c>
      <c r="J18" s="37"/>
      <c r="K18" s="37"/>
      <c r="L18" s="42">
        <f>テーブル223[[#This Row],[税込み価格]]-テーブル223[[#This Row],[税抜き]]</f>
        <v>33750</v>
      </c>
      <c r="M18" s="44">
        <f>テーブル223[[#This Row],[税込み価格]]/1.1</f>
        <v>337500</v>
      </c>
      <c r="N18" s="44">
        <v>371250</v>
      </c>
    </row>
    <row r="19" spans="1:14" ht="21.75" customHeight="1" x14ac:dyDescent="0.15">
      <c r="A19" s="37">
        <v>9</v>
      </c>
      <c r="B19" s="37">
        <v>18</v>
      </c>
      <c r="C19" s="38">
        <v>46197</v>
      </c>
      <c r="D19" s="38">
        <v>46202</v>
      </c>
      <c r="E19" s="37">
        <v>6</v>
      </c>
      <c r="F19" s="39">
        <f>テーブル223[[#This Row],[終了日]]-テーブル223[[#This Row],[日程]]+1</f>
        <v>6</v>
      </c>
      <c r="G19" s="37" t="s">
        <v>81</v>
      </c>
      <c r="H19" s="40" t="s">
        <v>94</v>
      </c>
      <c r="I19" s="41" t="s">
        <v>40</v>
      </c>
      <c r="J19" s="37">
        <f>テーブル223[[#This Row],[終了日]]-テーブル223[[#This Row],[日程]]+1</f>
        <v>6</v>
      </c>
      <c r="K19" s="37">
        <v>9</v>
      </c>
      <c r="L19" s="42">
        <f>テーブル223[[#This Row],[税込み価格]]-テーブル223[[#This Row],[税抜き]]</f>
        <v>321002.00000000047</v>
      </c>
      <c r="M19" s="44">
        <f>テーブル223[[#This Row],[税込み価格]]/1.1</f>
        <v>3210019.9999999995</v>
      </c>
      <c r="N19" s="44">
        <v>3531022</v>
      </c>
    </row>
    <row r="20" spans="1:14" ht="21.75" customHeight="1" x14ac:dyDescent="0.15">
      <c r="A20" s="37">
        <v>9</v>
      </c>
      <c r="B20" s="37">
        <v>19</v>
      </c>
      <c r="C20" s="38">
        <v>46197</v>
      </c>
      <c r="D20" s="38">
        <v>46202</v>
      </c>
      <c r="E20" s="37">
        <v>6</v>
      </c>
      <c r="F20" s="39"/>
      <c r="G20" s="37" t="s">
        <v>81</v>
      </c>
      <c r="H20" s="55" t="s">
        <v>167</v>
      </c>
      <c r="I20" s="45" t="s">
        <v>40</v>
      </c>
      <c r="J20" s="37"/>
      <c r="K20" s="37"/>
      <c r="L20" s="42">
        <f>テーブル223[[#This Row],[税込み価格]]-テーブル223[[#This Row],[税抜き]]</f>
        <v>45454.54545454547</v>
      </c>
      <c r="M20" s="44">
        <f>テーブル223[[#This Row],[税込み価格]]/1.1</f>
        <v>454545.45454545453</v>
      </c>
      <c r="N20" s="44">
        <v>500000</v>
      </c>
    </row>
    <row r="21" spans="1:14" ht="21.75" customHeight="1" x14ac:dyDescent="0.15">
      <c r="A21" s="37">
        <v>10</v>
      </c>
      <c r="B21" s="37">
        <v>20</v>
      </c>
      <c r="C21" s="38">
        <v>46206</v>
      </c>
      <c r="D21" s="38">
        <v>46211</v>
      </c>
      <c r="E21" s="37">
        <v>7</v>
      </c>
      <c r="F21" s="39">
        <f>テーブル223[[#This Row],[終了日]]-テーブル223[[#This Row],[日程]]+1</f>
        <v>6</v>
      </c>
      <c r="G21" s="37" t="s">
        <v>80</v>
      </c>
      <c r="H21" s="40" t="s">
        <v>94</v>
      </c>
      <c r="I21" s="41" t="s">
        <v>61</v>
      </c>
      <c r="J21" s="37">
        <f>テーブル223[[#This Row],[終了日]]-テーブル223[[#This Row],[日程]]+1</f>
        <v>6</v>
      </c>
      <c r="K21" s="37">
        <v>9</v>
      </c>
      <c r="L21" s="42">
        <f>テーブル223[[#This Row],[税込み価格]]-テーブル223[[#This Row],[税抜き]]</f>
        <v>263911.90909090918</v>
      </c>
      <c r="M21" s="44">
        <f>テーブル223[[#This Row],[税込み価格]]/1.1</f>
        <v>2639119.0909090908</v>
      </c>
      <c r="N21" s="44">
        <v>2903031</v>
      </c>
    </row>
    <row r="22" spans="1:14" ht="21.75" customHeight="1" x14ac:dyDescent="0.15">
      <c r="A22" s="37">
        <v>10</v>
      </c>
      <c r="B22" s="37">
        <v>21</v>
      </c>
      <c r="C22" s="38">
        <v>46206</v>
      </c>
      <c r="D22" s="38">
        <v>46211</v>
      </c>
      <c r="E22" s="37">
        <v>7</v>
      </c>
      <c r="F22" s="39"/>
      <c r="G22" s="37" t="s">
        <v>80</v>
      </c>
      <c r="H22" s="46" t="s">
        <v>165</v>
      </c>
      <c r="I22" s="41" t="s">
        <v>61</v>
      </c>
      <c r="J22" s="37"/>
      <c r="K22" s="37"/>
      <c r="L22" s="42">
        <f>テーブル223[[#This Row],[税込み価格]]-テーブル223[[#This Row],[税抜き]]</f>
        <v>33750</v>
      </c>
      <c r="M22" s="44">
        <f>テーブル223[[#This Row],[税込み価格]]/1.1</f>
        <v>337500</v>
      </c>
      <c r="N22" s="44">
        <v>371250</v>
      </c>
    </row>
    <row r="23" spans="1:14" ht="21.75" customHeight="1" x14ac:dyDescent="0.15">
      <c r="A23" s="37">
        <v>11</v>
      </c>
      <c r="B23" s="37">
        <v>22</v>
      </c>
      <c r="C23" s="38">
        <v>46218</v>
      </c>
      <c r="D23" s="38">
        <v>46224</v>
      </c>
      <c r="E23" s="37">
        <v>7</v>
      </c>
      <c r="F23" s="39">
        <f>テーブル223[[#This Row],[終了日]]-テーブル223[[#This Row],[日程]]+1</f>
        <v>7</v>
      </c>
      <c r="G23" s="37" t="s">
        <v>81</v>
      </c>
      <c r="H23" s="40" t="s">
        <v>94</v>
      </c>
      <c r="I23" s="41" t="s">
        <v>41</v>
      </c>
      <c r="J23" s="37">
        <f>テーブル223[[#This Row],[終了日]]-テーブル223[[#This Row],[日程]]+1</f>
        <v>7</v>
      </c>
      <c r="K23" s="37">
        <v>9</v>
      </c>
      <c r="L23" s="42">
        <f>テーブル223[[#This Row],[税込み価格]]-テーブル223[[#This Row],[税抜き]]</f>
        <v>339559.00000000047</v>
      </c>
      <c r="M23" s="44">
        <f>テーブル223[[#This Row],[税込み価格]]/1.1</f>
        <v>3395589.9999999995</v>
      </c>
      <c r="N23" s="44">
        <v>3735149</v>
      </c>
    </row>
    <row r="24" spans="1:14" ht="21.75" customHeight="1" x14ac:dyDescent="0.15">
      <c r="A24" s="37">
        <v>11</v>
      </c>
      <c r="B24" s="37">
        <v>23</v>
      </c>
      <c r="C24" s="38">
        <v>46218</v>
      </c>
      <c r="D24" s="38">
        <v>46224</v>
      </c>
      <c r="E24" s="37">
        <v>7</v>
      </c>
      <c r="F24" s="39"/>
      <c r="G24" s="37" t="s">
        <v>81</v>
      </c>
      <c r="H24" s="54" t="s">
        <v>166</v>
      </c>
      <c r="I24" s="45" t="s">
        <v>41</v>
      </c>
      <c r="J24" s="37"/>
      <c r="K24" s="37"/>
      <c r="L24" s="42">
        <f>テーブル223[[#This Row],[税込み価格]]-テーブル223[[#This Row],[税抜き]]</f>
        <v>2750.0000000000036</v>
      </c>
      <c r="M24" s="44">
        <f>テーブル223[[#This Row],[税込み価格]]/1.1</f>
        <v>27499.999999999996</v>
      </c>
      <c r="N24" s="44">
        <v>30250</v>
      </c>
    </row>
    <row r="25" spans="1:14" ht="21.75" customHeight="1" x14ac:dyDescent="0.15">
      <c r="A25" s="37">
        <v>12</v>
      </c>
      <c r="B25" s="37">
        <v>24</v>
      </c>
      <c r="C25" s="38">
        <v>46227</v>
      </c>
      <c r="D25" s="38">
        <v>46230</v>
      </c>
      <c r="E25" s="37">
        <v>7</v>
      </c>
      <c r="F25" s="39">
        <f>テーブル223[[#This Row],[終了日]]-テーブル223[[#This Row],[日程]]+1</f>
        <v>4</v>
      </c>
      <c r="G25" s="37" t="s">
        <v>81</v>
      </c>
      <c r="H25" s="40" t="s">
        <v>94</v>
      </c>
      <c r="I25" s="41" t="s">
        <v>42</v>
      </c>
      <c r="J25" s="37">
        <f>テーブル223[[#This Row],[終了日]]-テーブル223[[#This Row],[日程]]+1</f>
        <v>4</v>
      </c>
      <c r="K25" s="37">
        <v>1</v>
      </c>
      <c r="L25" s="42">
        <f>テーブル223[[#This Row],[税込み価格]]-テーブル223[[#This Row],[税抜き]]</f>
        <v>199848.00000000023</v>
      </c>
      <c r="M25" s="44">
        <f>テーブル223[[#This Row],[税込み価格]]/1.1</f>
        <v>1998479.9999999998</v>
      </c>
      <c r="N25" s="44">
        <v>2198328</v>
      </c>
    </row>
    <row r="26" spans="1:14" ht="21.75" customHeight="1" x14ac:dyDescent="0.15">
      <c r="A26" s="37">
        <v>12</v>
      </c>
      <c r="B26" s="37">
        <v>25</v>
      </c>
      <c r="C26" s="38">
        <v>46227</v>
      </c>
      <c r="D26" s="38">
        <v>46230</v>
      </c>
      <c r="E26" s="37">
        <v>7</v>
      </c>
      <c r="F26" s="39"/>
      <c r="G26" s="37" t="s">
        <v>81</v>
      </c>
      <c r="H26" s="54" t="s">
        <v>166</v>
      </c>
      <c r="I26" s="45" t="s">
        <v>42</v>
      </c>
      <c r="J26" s="37"/>
      <c r="K26" s="37"/>
      <c r="L26" s="42">
        <f>テーブル223[[#This Row],[税込み価格]]-テーブル223[[#This Row],[税抜き]]</f>
        <v>2750.0000000000036</v>
      </c>
      <c r="M26" s="44">
        <f>テーブル223[[#This Row],[税込み価格]]/1.1</f>
        <v>27499.999999999996</v>
      </c>
      <c r="N26" s="44">
        <v>30250</v>
      </c>
    </row>
    <row r="27" spans="1:14" ht="21.75" customHeight="1" x14ac:dyDescent="0.15">
      <c r="A27" s="37">
        <v>13</v>
      </c>
      <c r="B27" s="37">
        <v>26</v>
      </c>
      <c r="C27" s="38">
        <v>46238</v>
      </c>
      <c r="D27" s="38">
        <v>46243</v>
      </c>
      <c r="E27" s="37">
        <v>8</v>
      </c>
      <c r="F27" s="39">
        <f>テーブル223[[#This Row],[終了日]]-テーブル223[[#This Row],[日程]]+1</f>
        <v>6</v>
      </c>
      <c r="G27" s="37" t="s">
        <v>81</v>
      </c>
      <c r="H27" s="40" t="s">
        <v>94</v>
      </c>
      <c r="I27" s="41" t="s">
        <v>43</v>
      </c>
      <c r="J27" s="37">
        <f>テーブル223[[#This Row],[終了日]]-テーブル223[[#This Row],[日程]]+1</f>
        <v>6</v>
      </c>
      <c r="K27" s="37">
        <v>6</v>
      </c>
      <c r="L27" s="42">
        <f>テーブル223[[#This Row],[税込み価格]]-テーブル223[[#This Row],[税抜き]]</f>
        <v>297572.00000000047</v>
      </c>
      <c r="M27" s="44">
        <f>テーブル223[[#This Row],[税込み価格]]/1.1</f>
        <v>2975719.9999999995</v>
      </c>
      <c r="N27" s="44">
        <v>3273292</v>
      </c>
    </row>
    <row r="28" spans="1:14" ht="21.75" customHeight="1" x14ac:dyDescent="0.15">
      <c r="A28" s="37">
        <v>13</v>
      </c>
      <c r="B28" s="37">
        <v>27</v>
      </c>
      <c r="C28" s="38">
        <v>46238</v>
      </c>
      <c r="D28" s="38">
        <v>46243</v>
      </c>
      <c r="E28" s="37">
        <v>8</v>
      </c>
      <c r="F28" s="39"/>
      <c r="G28" s="37" t="s">
        <v>81</v>
      </c>
      <c r="H28" s="54" t="s">
        <v>166</v>
      </c>
      <c r="I28" s="45" t="s">
        <v>43</v>
      </c>
      <c r="J28" s="37"/>
      <c r="K28" s="37"/>
      <c r="L28" s="42">
        <f>テーブル223[[#This Row],[税込み価格]]-テーブル223[[#This Row],[税抜き]]</f>
        <v>2750.0000000000036</v>
      </c>
      <c r="M28" s="44">
        <f>テーブル223[[#This Row],[税込み価格]]/1.1</f>
        <v>27499.999999999996</v>
      </c>
      <c r="N28" s="44">
        <v>30250</v>
      </c>
    </row>
    <row r="29" spans="1:14" ht="21.75" customHeight="1" x14ac:dyDescent="0.15">
      <c r="A29" s="37">
        <v>14</v>
      </c>
      <c r="B29" s="37">
        <v>28</v>
      </c>
      <c r="C29" s="38">
        <v>46247</v>
      </c>
      <c r="D29" s="38">
        <v>46252</v>
      </c>
      <c r="E29" s="37">
        <v>8</v>
      </c>
      <c r="F29" s="39">
        <f>テーブル223[[#This Row],[終了日]]-テーブル223[[#This Row],[日程]]+1</f>
        <v>6</v>
      </c>
      <c r="G29" s="37" t="s">
        <v>80</v>
      </c>
      <c r="H29" s="40" t="s">
        <v>94</v>
      </c>
      <c r="I29" s="41" t="s">
        <v>63</v>
      </c>
      <c r="J29" s="37">
        <f>テーブル223[[#This Row],[終了日]]-テーブル223[[#This Row],[日程]]+1</f>
        <v>6</v>
      </c>
      <c r="K29" s="37">
        <v>3</v>
      </c>
      <c r="L29" s="42">
        <f>テーブル223[[#This Row],[税込み価格]]-テーブル223[[#This Row],[税抜き]]</f>
        <v>272711.90909090918</v>
      </c>
      <c r="M29" s="44">
        <f>テーブル223[[#This Row],[税込み価格]]/1.1</f>
        <v>2727119.0909090908</v>
      </c>
      <c r="N29" s="44">
        <v>2999831</v>
      </c>
    </row>
    <row r="30" spans="1:14" ht="21.75" customHeight="1" x14ac:dyDescent="0.15">
      <c r="A30" s="37">
        <v>14</v>
      </c>
      <c r="B30" s="37">
        <v>29</v>
      </c>
      <c r="C30" s="38">
        <v>46247</v>
      </c>
      <c r="D30" s="38">
        <v>46252</v>
      </c>
      <c r="E30" s="37">
        <v>8</v>
      </c>
      <c r="F30" s="39"/>
      <c r="G30" s="37" t="s">
        <v>80</v>
      </c>
      <c r="H30" s="46" t="s">
        <v>165</v>
      </c>
      <c r="I30" s="41" t="s">
        <v>63</v>
      </c>
      <c r="J30" s="37"/>
      <c r="K30" s="37"/>
      <c r="L30" s="42">
        <f>テーブル223[[#This Row],[税込み価格]]-テーブル223[[#This Row],[税抜き]]</f>
        <v>70200</v>
      </c>
      <c r="M30" s="44">
        <f>テーブル223[[#This Row],[税込み価格]]/1.1</f>
        <v>702000</v>
      </c>
      <c r="N30" s="44">
        <v>772200</v>
      </c>
    </row>
    <row r="31" spans="1:14" ht="21.75" customHeight="1" x14ac:dyDescent="0.15">
      <c r="A31" s="37">
        <v>14</v>
      </c>
      <c r="B31" s="37">
        <v>30</v>
      </c>
      <c r="C31" s="38">
        <v>46247</v>
      </c>
      <c r="D31" s="38">
        <v>46252</v>
      </c>
      <c r="E31" s="37">
        <v>8</v>
      </c>
      <c r="F31" s="39"/>
      <c r="G31" s="37" t="s">
        <v>80</v>
      </c>
      <c r="H31" s="55" t="s">
        <v>167</v>
      </c>
      <c r="I31" s="45" t="s">
        <v>63</v>
      </c>
      <c r="J31" s="37"/>
      <c r="K31" s="37"/>
      <c r="L31" s="42">
        <f>テーブル223[[#This Row],[税込み価格]]-テーブル223[[#This Row],[税抜き]]</f>
        <v>45454.54545454547</v>
      </c>
      <c r="M31" s="44">
        <f>テーブル223[[#This Row],[税込み価格]]/1.1</f>
        <v>454545.45454545453</v>
      </c>
      <c r="N31" s="44">
        <v>500000</v>
      </c>
    </row>
    <row r="32" spans="1:14" ht="21.75" customHeight="1" x14ac:dyDescent="0.15">
      <c r="A32" s="37">
        <v>15</v>
      </c>
      <c r="B32" s="37">
        <v>31</v>
      </c>
      <c r="C32" s="38">
        <v>46266</v>
      </c>
      <c r="D32" s="38">
        <v>46271</v>
      </c>
      <c r="E32" s="37">
        <v>9</v>
      </c>
      <c r="F32" s="39">
        <f>テーブル223[[#This Row],[終了日]]-テーブル223[[#This Row],[日程]]+1</f>
        <v>6</v>
      </c>
      <c r="G32" s="37" t="s">
        <v>81</v>
      </c>
      <c r="H32" s="40" t="s">
        <v>94</v>
      </c>
      <c r="I32" s="41" t="s">
        <v>44</v>
      </c>
      <c r="J32" s="37">
        <f>テーブル223[[#This Row],[終了日]]-テーブル223[[#This Row],[日程]]+1</f>
        <v>6</v>
      </c>
      <c r="K32" s="37">
        <v>10</v>
      </c>
      <c r="L32" s="42">
        <f>テーブル223[[#This Row],[税込み価格]]-テーブル223[[#This Row],[税抜き]]</f>
        <v>297572.00000000047</v>
      </c>
      <c r="M32" s="43">
        <f>テーブル223[[#This Row],[税込み価格]]/1.1</f>
        <v>2975719.9999999995</v>
      </c>
      <c r="N32" s="44">
        <v>3273292</v>
      </c>
    </row>
    <row r="33" spans="1:14" ht="21.75" customHeight="1" x14ac:dyDescent="0.15">
      <c r="A33" s="37">
        <v>15</v>
      </c>
      <c r="B33" s="37">
        <v>32</v>
      </c>
      <c r="C33" s="38">
        <v>46266</v>
      </c>
      <c r="D33" s="38">
        <v>46271</v>
      </c>
      <c r="E33" s="37">
        <v>9</v>
      </c>
      <c r="F33" s="39"/>
      <c r="G33" s="37" t="s">
        <v>81</v>
      </c>
      <c r="H33" s="54" t="s">
        <v>166</v>
      </c>
      <c r="I33" s="45" t="s">
        <v>44</v>
      </c>
      <c r="J33" s="37"/>
      <c r="K33" s="37"/>
      <c r="L33" s="42">
        <f>テーブル223[[#This Row],[税込み価格]]-テーブル223[[#This Row],[税抜き]]</f>
        <v>2750.0000000000036</v>
      </c>
      <c r="M33" s="43">
        <f>テーブル223[[#This Row],[税込み価格]]/1.1</f>
        <v>27499.999999999996</v>
      </c>
      <c r="N33" s="44">
        <v>30250</v>
      </c>
    </row>
    <row r="34" spans="1:14" ht="21.75" customHeight="1" x14ac:dyDescent="0.15">
      <c r="A34" s="37">
        <v>16</v>
      </c>
      <c r="B34" s="37">
        <v>33</v>
      </c>
      <c r="C34" s="38">
        <v>46276</v>
      </c>
      <c r="D34" s="38">
        <v>46281</v>
      </c>
      <c r="E34" s="37">
        <v>9</v>
      </c>
      <c r="F34" s="39">
        <f>テーブル223[[#This Row],[終了日]]-テーブル223[[#This Row],[日程]]+1</f>
        <v>6</v>
      </c>
      <c r="G34" s="37" t="s">
        <v>81</v>
      </c>
      <c r="H34" s="40" t="s">
        <v>94</v>
      </c>
      <c r="I34" s="41" t="s">
        <v>45</v>
      </c>
      <c r="J34" s="37">
        <f>テーブル223[[#This Row],[終了日]]-テーブル223[[#This Row],[日程]]+1</f>
        <v>6</v>
      </c>
      <c r="K34" s="37">
        <v>6</v>
      </c>
      <c r="L34" s="42">
        <f>テーブル223[[#This Row],[税込み価格]]-テーブル223[[#This Row],[税抜き]]</f>
        <v>297572.00000000047</v>
      </c>
      <c r="M34" s="43">
        <f>テーブル223[[#This Row],[税込み価格]]/1.1</f>
        <v>2975719.9999999995</v>
      </c>
      <c r="N34" s="44">
        <v>3273292</v>
      </c>
    </row>
    <row r="35" spans="1:14" ht="21.75" customHeight="1" x14ac:dyDescent="0.15">
      <c r="A35" s="37">
        <v>16</v>
      </c>
      <c r="B35" s="37">
        <v>34</v>
      </c>
      <c r="C35" s="38">
        <v>46276</v>
      </c>
      <c r="D35" s="38">
        <v>46281</v>
      </c>
      <c r="E35" s="37">
        <v>9</v>
      </c>
      <c r="F35" s="39"/>
      <c r="G35" s="37" t="s">
        <v>81</v>
      </c>
      <c r="H35" s="54" t="s">
        <v>166</v>
      </c>
      <c r="I35" s="45" t="s">
        <v>45</v>
      </c>
      <c r="J35" s="37"/>
      <c r="K35" s="37"/>
      <c r="L35" s="42">
        <f>テーブル223[[#This Row],[税込み価格]]-テーブル223[[#This Row],[税抜き]]</f>
        <v>2750.0000000000036</v>
      </c>
      <c r="M35" s="43">
        <f>テーブル223[[#This Row],[税込み価格]]/1.1</f>
        <v>27499.999999999996</v>
      </c>
      <c r="N35" s="44">
        <v>30250</v>
      </c>
    </row>
    <row r="36" spans="1:14" ht="21.75" customHeight="1" x14ac:dyDescent="0.15">
      <c r="A36" s="37">
        <v>17</v>
      </c>
      <c r="B36" s="37">
        <v>35</v>
      </c>
      <c r="C36" s="38">
        <v>46283</v>
      </c>
      <c r="D36" s="38">
        <v>46288</v>
      </c>
      <c r="E36" s="37">
        <v>9</v>
      </c>
      <c r="F36" s="39">
        <f>テーブル223[[#This Row],[終了日]]-テーブル223[[#This Row],[日程]]+1</f>
        <v>6</v>
      </c>
      <c r="G36" s="37" t="s">
        <v>80</v>
      </c>
      <c r="H36" s="40" t="s">
        <v>94</v>
      </c>
      <c r="I36" s="41" t="s">
        <v>65</v>
      </c>
      <c r="J36" s="37">
        <f>テーブル223[[#This Row],[終了日]]-テーブル223[[#This Row],[日程]]+1</f>
        <v>6</v>
      </c>
      <c r="K36" s="37">
        <v>2</v>
      </c>
      <c r="L36" s="42">
        <f>テーブル223[[#This Row],[税込み価格]]-テーブル223[[#This Row],[税抜き]]</f>
        <v>263911.90909090918</v>
      </c>
      <c r="M36" s="43">
        <f>テーブル223[[#This Row],[税込み価格]]/1.1</f>
        <v>2639119.0909090908</v>
      </c>
      <c r="N36" s="44">
        <v>2903031</v>
      </c>
    </row>
    <row r="37" spans="1:14" ht="21.75" customHeight="1" x14ac:dyDescent="0.15">
      <c r="A37" s="37">
        <v>17</v>
      </c>
      <c r="B37" s="37">
        <v>36</v>
      </c>
      <c r="C37" s="38">
        <v>46283</v>
      </c>
      <c r="D37" s="38">
        <v>46288</v>
      </c>
      <c r="E37" s="37">
        <v>9</v>
      </c>
      <c r="F37" s="39"/>
      <c r="G37" s="37" t="s">
        <v>80</v>
      </c>
      <c r="H37" s="46" t="s">
        <v>165</v>
      </c>
      <c r="I37" s="41" t="s">
        <v>65</v>
      </c>
      <c r="J37" s="37"/>
      <c r="K37" s="37"/>
      <c r="L37" s="42">
        <f>テーブル223[[#This Row],[税込み価格]]-テーブル223[[#This Row],[税抜き]]</f>
        <v>33750</v>
      </c>
      <c r="M37" s="43">
        <f>テーブル223[[#This Row],[税込み価格]]/1.1</f>
        <v>337500</v>
      </c>
      <c r="N37" s="44">
        <v>371250</v>
      </c>
    </row>
    <row r="38" spans="1:14" ht="21.75" customHeight="1" x14ac:dyDescent="0.15">
      <c r="A38" s="37">
        <v>18</v>
      </c>
      <c r="B38" s="37">
        <v>37</v>
      </c>
      <c r="C38" s="38">
        <v>46296</v>
      </c>
      <c r="D38" s="38">
        <v>46301</v>
      </c>
      <c r="E38" s="37">
        <v>10</v>
      </c>
      <c r="F38" s="39">
        <f>テーブル223[[#This Row],[終了日]]-テーブル223[[#This Row],[日程]]+1</f>
        <v>6</v>
      </c>
      <c r="G38" s="37" t="s">
        <v>81</v>
      </c>
      <c r="H38" s="40" t="s">
        <v>94</v>
      </c>
      <c r="I38" s="41" t="s">
        <v>46</v>
      </c>
      <c r="J38" s="37">
        <f>テーブル223[[#This Row],[終了日]]-テーブル223[[#This Row],[日程]]+1</f>
        <v>6</v>
      </c>
      <c r="K38" s="37">
        <v>11</v>
      </c>
      <c r="L38" s="42">
        <f>テーブル223[[#This Row],[税込み価格]]-テーブル223[[#This Row],[税抜き]]</f>
        <v>297572.00000000047</v>
      </c>
      <c r="M38" s="43">
        <f>テーブル223[[#This Row],[税込み価格]]/1.1</f>
        <v>2975719.9999999995</v>
      </c>
      <c r="N38" s="44">
        <v>3273292</v>
      </c>
    </row>
    <row r="39" spans="1:14" ht="21.75" customHeight="1" x14ac:dyDescent="0.15">
      <c r="A39" s="37">
        <v>18</v>
      </c>
      <c r="B39" s="37">
        <v>38</v>
      </c>
      <c r="C39" s="38">
        <v>46296</v>
      </c>
      <c r="D39" s="38">
        <v>46301</v>
      </c>
      <c r="E39" s="37">
        <v>10</v>
      </c>
      <c r="F39" s="39"/>
      <c r="G39" s="37" t="s">
        <v>81</v>
      </c>
      <c r="H39" s="54" t="s">
        <v>166</v>
      </c>
      <c r="I39" s="45" t="s">
        <v>46</v>
      </c>
      <c r="J39" s="37"/>
      <c r="K39" s="37"/>
      <c r="L39" s="42">
        <f>テーブル223[[#This Row],[税込み価格]]-テーブル223[[#This Row],[税抜き]]</f>
        <v>2750.0000000000036</v>
      </c>
      <c r="M39" s="43">
        <f>テーブル223[[#This Row],[税込み価格]]/1.1</f>
        <v>27499.999999999996</v>
      </c>
      <c r="N39" s="44">
        <v>30250</v>
      </c>
    </row>
    <row r="40" spans="1:14" ht="21.75" customHeight="1" x14ac:dyDescent="0.15">
      <c r="A40" s="37">
        <v>19</v>
      </c>
      <c r="B40" s="37">
        <v>39</v>
      </c>
      <c r="C40" s="38">
        <v>46305</v>
      </c>
      <c r="D40" s="38">
        <v>46310</v>
      </c>
      <c r="E40" s="37">
        <v>10</v>
      </c>
      <c r="F40" s="39">
        <f>テーブル223[[#This Row],[終了日]]-テーブル223[[#This Row],[日程]]+1</f>
        <v>6</v>
      </c>
      <c r="G40" s="37" t="s">
        <v>80</v>
      </c>
      <c r="H40" s="40" t="s">
        <v>94</v>
      </c>
      <c r="I40" s="41" t="s">
        <v>67</v>
      </c>
      <c r="J40" s="37">
        <f>テーブル223[[#This Row],[終了日]]-テーブル223[[#This Row],[日程]]+1</f>
        <v>6</v>
      </c>
      <c r="K40" s="37">
        <v>3</v>
      </c>
      <c r="L40" s="42">
        <f>テーブル223[[#This Row],[税込み価格]]-テーブル223[[#This Row],[税抜き]]</f>
        <v>263911.90909090918</v>
      </c>
      <c r="M40" s="43">
        <f>テーブル223[[#This Row],[税込み価格]]/1.1</f>
        <v>2639119.0909090908</v>
      </c>
      <c r="N40" s="44">
        <v>2903031</v>
      </c>
    </row>
    <row r="41" spans="1:14" ht="21.75" customHeight="1" x14ac:dyDescent="0.15">
      <c r="A41" s="37">
        <v>19</v>
      </c>
      <c r="B41" s="37">
        <v>40</v>
      </c>
      <c r="C41" s="38">
        <v>46305</v>
      </c>
      <c r="D41" s="38">
        <v>46310</v>
      </c>
      <c r="E41" s="37">
        <v>10</v>
      </c>
      <c r="F41" s="39"/>
      <c r="G41" s="37" t="s">
        <v>80</v>
      </c>
      <c r="H41" s="46" t="s">
        <v>165</v>
      </c>
      <c r="I41" s="41" t="s">
        <v>67</v>
      </c>
      <c r="J41" s="37"/>
      <c r="K41" s="37"/>
      <c r="L41" s="42">
        <f>テーブル223[[#This Row],[税込み価格]]-テーブル223[[#This Row],[税抜き]]</f>
        <v>33750</v>
      </c>
      <c r="M41" s="43">
        <f>テーブル223[[#This Row],[税込み価格]]/1.1</f>
        <v>337500</v>
      </c>
      <c r="N41" s="44">
        <v>371250</v>
      </c>
    </row>
    <row r="42" spans="1:14" ht="21.75" customHeight="1" x14ac:dyDescent="0.15">
      <c r="A42" s="37">
        <v>20</v>
      </c>
      <c r="B42" s="37">
        <v>41</v>
      </c>
      <c r="C42" s="38">
        <v>46314</v>
      </c>
      <c r="D42" s="38">
        <v>46319</v>
      </c>
      <c r="E42" s="37">
        <v>10</v>
      </c>
      <c r="F42" s="39">
        <f>テーブル223[[#This Row],[終了日]]-テーブル223[[#This Row],[日程]]+1</f>
        <v>6</v>
      </c>
      <c r="G42" s="47" t="s">
        <v>80</v>
      </c>
      <c r="H42" s="40" t="s">
        <v>94</v>
      </c>
      <c r="I42" s="41" t="s">
        <v>68</v>
      </c>
      <c r="J42" s="37">
        <f>テーブル223[[#This Row],[終了日]]-テーブル223[[#This Row],[日程]]+1</f>
        <v>6</v>
      </c>
      <c r="K42" s="37">
        <v>10</v>
      </c>
      <c r="L42" s="42">
        <f>テーブル223[[#This Row],[税込み価格]]-テーブル223[[#This Row],[税抜き]]</f>
        <v>250931.90909090918</v>
      </c>
      <c r="M42" s="43">
        <f>テーブル223[[#This Row],[税込み価格]]/1.1</f>
        <v>2509319.0909090908</v>
      </c>
      <c r="N42" s="44">
        <v>2760251</v>
      </c>
    </row>
    <row r="43" spans="1:14" ht="21.75" customHeight="1" x14ac:dyDescent="0.15">
      <c r="A43" s="37">
        <v>20</v>
      </c>
      <c r="B43" s="37">
        <v>42</v>
      </c>
      <c r="C43" s="38">
        <v>46314</v>
      </c>
      <c r="D43" s="38">
        <v>46319</v>
      </c>
      <c r="E43" s="37">
        <v>10</v>
      </c>
      <c r="F43" s="39"/>
      <c r="G43" s="37" t="s">
        <v>80</v>
      </c>
      <c r="H43" s="46" t="s">
        <v>165</v>
      </c>
      <c r="I43" s="41" t="s">
        <v>68</v>
      </c>
      <c r="J43" s="37"/>
      <c r="K43" s="37"/>
      <c r="L43" s="42">
        <f>テーブル223[[#This Row],[税込み価格]]-テーブル223[[#This Row],[税抜き]]</f>
        <v>70200</v>
      </c>
      <c r="M43" s="43">
        <f>テーブル223[[#This Row],[税込み価格]]/1.1</f>
        <v>702000</v>
      </c>
      <c r="N43" s="44">
        <v>772200</v>
      </c>
    </row>
    <row r="44" spans="1:14" ht="21.75" customHeight="1" x14ac:dyDescent="0.15">
      <c r="A44" s="37">
        <v>20</v>
      </c>
      <c r="B44" s="37">
        <v>43</v>
      </c>
      <c r="C44" s="38">
        <v>46314</v>
      </c>
      <c r="D44" s="38">
        <v>46319</v>
      </c>
      <c r="E44" s="37">
        <v>10</v>
      </c>
      <c r="F44" s="39"/>
      <c r="G44" s="37" t="s">
        <v>80</v>
      </c>
      <c r="H44" s="55" t="s">
        <v>167</v>
      </c>
      <c r="I44" s="41" t="s">
        <v>68</v>
      </c>
      <c r="J44" s="37"/>
      <c r="K44" s="37"/>
      <c r="L44" s="42">
        <f>テーブル223[[#This Row],[税込み価格]]-テーブル223[[#This Row],[税抜き]]</f>
        <v>45454.54545454547</v>
      </c>
      <c r="M44" s="43">
        <f>テーブル223[[#This Row],[税込み価格]]/1.1</f>
        <v>454545.45454545453</v>
      </c>
      <c r="N44" s="44">
        <v>500000</v>
      </c>
    </row>
    <row r="45" spans="1:14" ht="21.75" customHeight="1" x14ac:dyDescent="0.15">
      <c r="A45" s="37">
        <v>21</v>
      </c>
      <c r="B45" s="37">
        <v>44</v>
      </c>
      <c r="C45" s="38">
        <v>46331</v>
      </c>
      <c r="D45" s="38">
        <v>46336</v>
      </c>
      <c r="E45" s="37">
        <v>11</v>
      </c>
      <c r="F45" s="39">
        <f>テーブル223[[#This Row],[終了日]]-テーブル223[[#This Row],[日程]]+1</f>
        <v>6</v>
      </c>
      <c r="G45" s="47" t="s">
        <v>80</v>
      </c>
      <c r="H45" s="40" t="s">
        <v>94</v>
      </c>
      <c r="I45" s="41" t="s">
        <v>69</v>
      </c>
      <c r="J45" s="37">
        <f>テーブル223[[#This Row],[終了日]]-テーブル223[[#This Row],[日程]]+1</f>
        <v>6</v>
      </c>
      <c r="K45" s="37">
        <v>6</v>
      </c>
      <c r="L45" s="42">
        <f>テーブル223[[#This Row],[税込み価格]]-テーブル223[[#This Row],[税抜き]]</f>
        <v>250931.90909090918</v>
      </c>
      <c r="M45" s="43">
        <f>テーブル223[[#This Row],[税込み価格]]/1.1</f>
        <v>2509319.0909090908</v>
      </c>
      <c r="N45" s="44">
        <v>2760251</v>
      </c>
    </row>
    <row r="46" spans="1:14" ht="21.75" customHeight="1" x14ac:dyDescent="0.15">
      <c r="A46" s="37">
        <v>21</v>
      </c>
      <c r="B46" s="37">
        <v>45</v>
      </c>
      <c r="C46" s="38">
        <v>46331</v>
      </c>
      <c r="D46" s="38">
        <v>46336</v>
      </c>
      <c r="E46" s="37">
        <v>11</v>
      </c>
      <c r="F46" s="39"/>
      <c r="G46" s="37" t="s">
        <v>80</v>
      </c>
      <c r="H46" s="46" t="s">
        <v>165</v>
      </c>
      <c r="I46" s="41" t="s">
        <v>69</v>
      </c>
      <c r="J46" s="37"/>
      <c r="K46" s="37"/>
      <c r="L46" s="42">
        <f>テーブル223[[#This Row],[税込み価格]]-テーブル223[[#This Row],[税抜き]]</f>
        <v>70200</v>
      </c>
      <c r="M46" s="43">
        <f>テーブル223[[#This Row],[税込み価格]]/1.1</f>
        <v>702000</v>
      </c>
      <c r="N46" s="44">
        <v>772200</v>
      </c>
    </row>
    <row r="47" spans="1:14" ht="21.75" customHeight="1" x14ac:dyDescent="0.15">
      <c r="A47" s="37">
        <v>22</v>
      </c>
      <c r="B47" s="37">
        <v>46</v>
      </c>
      <c r="C47" s="38">
        <v>46347</v>
      </c>
      <c r="D47" s="38">
        <v>46352</v>
      </c>
      <c r="E47" s="37">
        <v>11</v>
      </c>
      <c r="F47" s="39">
        <f>テーブル223[[#This Row],[終了日]]-テーブル223[[#This Row],[日程]]+1</f>
        <v>6</v>
      </c>
      <c r="G47" s="37" t="s">
        <v>81</v>
      </c>
      <c r="H47" s="40" t="s">
        <v>94</v>
      </c>
      <c r="I47" s="41" t="s">
        <v>47</v>
      </c>
      <c r="J47" s="37">
        <f>テーブル223[[#This Row],[終了日]]-テーブル223[[#This Row],[日程]]+1</f>
        <v>6</v>
      </c>
      <c r="K47" s="37">
        <v>3</v>
      </c>
      <c r="L47" s="42">
        <f>テーブル223[[#This Row],[税込み価格]]-テーブル223[[#This Row],[税抜き]]</f>
        <v>297572.00000000047</v>
      </c>
      <c r="M47" s="43">
        <f>テーブル223[[#This Row],[税込み価格]]/1.1</f>
        <v>2975719.9999999995</v>
      </c>
      <c r="N47" s="44">
        <v>3273292</v>
      </c>
    </row>
    <row r="48" spans="1:14" ht="21.75" customHeight="1" x14ac:dyDescent="0.15">
      <c r="A48" s="37">
        <v>22</v>
      </c>
      <c r="B48" s="37">
        <v>47</v>
      </c>
      <c r="C48" s="38">
        <v>46347</v>
      </c>
      <c r="D48" s="38">
        <v>46352</v>
      </c>
      <c r="E48" s="37">
        <v>11</v>
      </c>
      <c r="F48" s="39"/>
      <c r="G48" s="37" t="s">
        <v>81</v>
      </c>
      <c r="H48" s="54" t="s">
        <v>166</v>
      </c>
      <c r="I48" s="45" t="s">
        <v>47</v>
      </c>
      <c r="J48" s="37"/>
      <c r="K48" s="37"/>
      <c r="L48" s="42">
        <f>テーブル223[[#This Row],[税込み価格]]-テーブル223[[#This Row],[税抜き]]</f>
        <v>2750.0000000000036</v>
      </c>
      <c r="M48" s="43">
        <f>テーブル223[[#This Row],[税込み価格]]/1.1</f>
        <v>27499.999999999996</v>
      </c>
      <c r="N48" s="44">
        <v>30250</v>
      </c>
    </row>
    <row r="49" spans="1:14" ht="21.75" customHeight="1" x14ac:dyDescent="0.15">
      <c r="A49" s="37">
        <v>23</v>
      </c>
      <c r="B49" s="37">
        <v>48</v>
      </c>
      <c r="C49" s="38">
        <v>46357</v>
      </c>
      <c r="D49" s="38">
        <v>46361</v>
      </c>
      <c r="E49" s="37">
        <v>12</v>
      </c>
      <c r="F49" s="39">
        <f>テーブル223[[#This Row],[終了日]]-テーブル223[[#This Row],[日程]]+1</f>
        <v>5</v>
      </c>
      <c r="G49" s="37" t="s">
        <v>81</v>
      </c>
      <c r="H49" s="40" t="s">
        <v>94</v>
      </c>
      <c r="I49" s="41" t="s">
        <v>48</v>
      </c>
      <c r="J49" s="37">
        <f>テーブル223[[#This Row],[終了日]]-テーブル223[[#This Row],[日程]]+1</f>
        <v>5</v>
      </c>
      <c r="K49" s="37">
        <v>9</v>
      </c>
      <c r="L49" s="42">
        <f>テーブル223[[#This Row],[税込み価格]]-テーブル223[[#This Row],[税抜き]]</f>
        <v>255585</v>
      </c>
      <c r="M49" s="43">
        <f>テーブル223[[#This Row],[税込み価格]]/1.1</f>
        <v>2555850</v>
      </c>
      <c r="N49" s="44">
        <v>2811435</v>
      </c>
    </row>
    <row r="50" spans="1:14" ht="21.75" customHeight="1" x14ac:dyDescent="0.15">
      <c r="A50" s="37">
        <v>23</v>
      </c>
      <c r="B50" s="37">
        <v>49</v>
      </c>
      <c r="C50" s="38">
        <v>46357</v>
      </c>
      <c r="D50" s="38">
        <v>46361</v>
      </c>
      <c r="E50" s="37">
        <v>12</v>
      </c>
      <c r="F50" s="39"/>
      <c r="G50" s="37" t="s">
        <v>81</v>
      </c>
      <c r="H50" s="54" t="s">
        <v>166</v>
      </c>
      <c r="I50" s="45" t="s">
        <v>48</v>
      </c>
      <c r="J50" s="37"/>
      <c r="K50" s="37"/>
      <c r="L50" s="42">
        <f>テーブル223[[#This Row],[税込み価格]]-テーブル223[[#This Row],[税抜き]]</f>
        <v>2750.0000000000036</v>
      </c>
      <c r="M50" s="43">
        <f>テーブル223[[#This Row],[税込み価格]]/1.1</f>
        <v>27499.999999999996</v>
      </c>
      <c r="N50" s="44">
        <v>30250</v>
      </c>
    </row>
    <row r="51" spans="1:14" ht="21.75" customHeight="1" x14ac:dyDescent="0.15">
      <c r="A51" s="37">
        <v>24</v>
      </c>
      <c r="B51" s="37">
        <v>50</v>
      </c>
      <c r="C51" s="38">
        <v>46368</v>
      </c>
      <c r="D51" s="38">
        <v>46372</v>
      </c>
      <c r="E51" s="37">
        <v>12</v>
      </c>
      <c r="F51" s="39">
        <f>テーブル223[[#This Row],[終了日]]-テーブル223[[#This Row],[日程]]+1</f>
        <v>5</v>
      </c>
      <c r="G51" s="37" t="s">
        <v>80</v>
      </c>
      <c r="H51" s="40" t="s">
        <v>94</v>
      </c>
      <c r="I51" s="41" t="s">
        <v>70</v>
      </c>
      <c r="J51" s="37">
        <f>テーブル223[[#This Row],[終了日]]-テーブル223[[#This Row],[日程]]+1</f>
        <v>5</v>
      </c>
      <c r="K51" s="37">
        <v>3</v>
      </c>
      <c r="L51" s="42">
        <f>テーブル223[[#This Row],[税込み価格]]-テーブル223[[#This Row],[税抜き]]</f>
        <v>221924.90909090918</v>
      </c>
      <c r="M51" s="43">
        <f>テーブル223[[#This Row],[税込み価格]]/1.1</f>
        <v>2219249.0909090908</v>
      </c>
      <c r="N51" s="44">
        <v>2441174</v>
      </c>
    </row>
    <row r="52" spans="1:14" ht="21.75" customHeight="1" x14ac:dyDescent="0.15">
      <c r="A52" s="37">
        <v>24</v>
      </c>
      <c r="B52" s="37">
        <v>51</v>
      </c>
      <c r="C52" s="38">
        <v>46368</v>
      </c>
      <c r="D52" s="38">
        <v>46372</v>
      </c>
      <c r="E52" s="37">
        <v>12</v>
      </c>
      <c r="F52" s="39"/>
      <c r="G52" s="37" t="s">
        <v>80</v>
      </c>
      <c r="H52" s="46" t="s">
        <v>165</v>
      </c>
      <c r="I52" s="41" t="s">
        <v>70</v>
      </c>
      <c r="J52" s="37"/>
      <c r="K52" s="37"/>
      <c r="L52" s="42">
        <f>テーブル223[[#This Row],[税込み価格]]-テーブル223[[#This Row],[税抜き]]</f>
        <v>33750</v>
      </c>
      <c r="M52" s="43">
        <f>テーブル223[[#This Row],[税込み価格]]/1.1</f>
        <v>337500</v>
      </c>
      <c r="N52" s="44">
        <v>371250</v>
      </c>
    </row>
    <row r="53" spans="1:14" ht="21.75" customHeight="1" x14ac:dyDescent="0.15">
      <c r="A53" s="37">
        <v>25</v>
      </c>
      <c r="B53" s="37">
        <v>52</v>
      </c>
      <c r="C53" s="38">
        <v>46382</v>
      </c>
      <c r="D53" s="38">
        <v>46387</v>
      </c>
      <c r="E53" s="37">
        <v>12</v>
      </c>
      <c r="F53" s="39">
        <f>テーブル223[[#This Row],[終了日]]-テーブル223[[#This Row],[日程]]+1</f>
        <v>6</v>
      </c>
      <c r="G53" s="37" t="s">
        <v>81</v>
      </c>
      <c r="H53" s="40" t="s">
        <v>94</v>
      </c>
      <c r="I53" s="41" t="s">
        <v>49</v>
      </c>
      <c r="J53" s="37">
        <f>テーブル223[[#This Row],[終了日]]-テーブル223[[#This Row],[日程]]+1</f>
        <v>6</v>
      </c>
      <c r="K53" s="37">
        <v>1</v>
      </c>
      <c r="L53" s="42">
        <f>テーブル223[[#This Row],[税込み価格]]-テーブル223[[#This Row],[税抜き]]</f>
        <v>321002.00000000047</v>
      </c>
      <c r="M53" s="43">
        <f>テーブル223[[#This Row],[税込み価格]]/1.1</f>
        <v>3210019.9999999995</v>
      </c>
      <c r="N53" s="44">
        <v>3531022</v>
      </c>
    </row>
    <row r="54" spans="1:14" ht="21.75" customHeight="1" x14ac:dyDescent="0.15">
      <c r="A54" s="37">
        <v>26</v>
      </c>
      <c r="B54" s="37">
        <v>53</v>
      </c>
      <c r="C54" s="38">
        <v>46389</v>
      </c>
      <c r="D54" s="38">
        <v>46394</v>
      </c>
      <c r="E54" s="37">
        <v>1</v>
      </c>
      <c r="F54" s="39">
        <f>テーブル223[[#This Row],[終了日]]-テーブル223[[#This Row],[日程]]+1</f>
        <v>6</v>
      </c>
      <c r="G54" s="37" t="s">
        <v>81</v>
      </c>
      <c r="H54" s="40" t="s">
        <v>94</v>
      </c>
      <c r="I54" s="41" t="s">
        <v>50</v>
      </c>
      <c r="J54" s="37">
        <f>テーブル223[[#This Row],[終了日]]-テーブル223[[#This Row],[日程]]+1</f>
        <v>6</v>
      </c>
      <c r="K54" s="37">
        <v>9</v>
      </c>
      <c r="L54" s="42">
        <f>テーブル223[[#This Row],[税込み価格]]-テーブル223[[#This Row],[税抜き]]</f>
        <v>328812.00000000047</v>
      </c>
      <c r="M54" s="43">
        <f>テーブル223[[#This Row],[税込み価格]]/1.1</f>
        <v>3288119.9999999995</v>
      </c>
      <c r="N54" s="44">
        <v>3616932</v>
      </c>
    </row>
    <row r="55" spans="1:14" ht="21.75" customHeight="1" x14ac:dyDescent="0.15">
      <c r="A55" s="37">
        <v>26</v>
      </c>
      <c r="B55" s="37">
        <v>54</v>
      </c>
      <c r="C55" s="38">
        <v>46389</v>
      </c>
      <c r="D55" s="38">
        <v>46394</v>
      </c>
      <c r="E55" s="37">
        <v>1</v>
      </c>
      <c r="F55" s="39"/>
      <c r="G55" s="37" t="s">
        <v>81</v>
      </c>
      <c r="H55" s="54" t="s">
        <v>166</v>
      </c>
      <c r="I55" s="45" t="s">
        <v>50</v>
      </c>
      <c r="J55" s="37"/>
      <c r="K55" s="37"/>
      <c r="L55" s="42">
        <f>テーブル223[[#This Row],[税込み価格]]-テーブル223[[#This Row],[税抜き]]</f>
        <v>2750.0000000000036</v>
      </c>
      <c r="M55" s="43">
        <f>テーブル223[[#This Row],[税込み価格]]/1.1</f>
        <v>27499.999999999996</v>
      </c>
      <c r="N55" s="44">
        <v>30250</v>
      </c>
    </row>
    <row r="56" spans="1:14" ht="21.75" customHeight="1" x14ac:dyDescent="0.15">
      <c r="A56" s="37">
        <v>27</v>
      </c>
      <c r="B56" s="37">
        <v>55</v>
      </c>
      <c r="C56" s="38">
        <v>46397</v>
      </c>
      <c r="D56" s="38">
        <v>46402</v>
      </c>
      <c r="E56" s="37">
        <v>1</v>
      </c>
      <c r="F56" s="39">
        <f>テーブル223[[#This Row],[終了日]]-テーブル223[[#This Row],[日程]]+1</f>
        <v>6</v>
      </c>
      <c r="G56" s="37" t="s">
        <v>80</v>
      </c>
      <c r="H56" s="40" t="s">
        <v>94</v>
      </c>
      <c r="I56" s="41" t="s">
        <v>71</v>
      </c>
      <c r="J56" s="37">
        <f>テーブル223[[#This Row],[終了日]]-テーブル223[[#This Row],[日程]]+1</f>
        <v>6</v>
      </c>
      <c r="K56" s="37">
        <v>5</v>
      </c>
      <c r="L56" s="42">
        <f>テーブル223[[#This Row],[税込み価格]]-テーブル223[[#This Row],[税抜き]]</f>
        <v>263911.90909090918</v>
      </c>
      <c r="M56" s="43">
        <f>テーブル223[[#This Row],[税込み価格]]/1.1</f>
        <v>2639119.0909090908</v>
      </c>
      <c r="N56" s="44">
        <v>2903031</v>
      </c>
    </row>
    <row r="57" spans="1:14" ht="21.75" customHeight="1" x14ac:dyDescent="0.15">
      <c r="A57" s="37">
        <v>27</v>
      </c>
      <c r="B57" s="37">
        <v>56</v>
      </c>
      <c r="C57" s="38">
        <v>46397</v>
      </c>
      <c r="D57" s="38">
        <v>46402</v>
      </c>
      <c r="E57" s="37">
        <v>1</v>
      </c>
      <c r="F57" s="39"/>
      <c r="G57" s="37" t="s">
        <v>80</v>
      </c>
      <c r="H57" s="46" t="s">
        <v>165</v>
      </c>
      <c r="I57" s="41" t="s">
        <v>71</v>
      </c>
      <c r="J57" s="37"/>
      <c r="K57" s="37"/>
      <c r="L57" s="42">
        <f>テーブル223[[#This Row],[税込み価格]]-テーブル223[[#This Row],[税抜き]]</f>
        <v>33750</v>
      </c>
      <c r="M57" s="43">
        <f>テーブル223[[#This Row],[税込み価格]]/1.1</f>
        <v>337500</v>
      </c>
      <c r="N57" s="44">
        <v>371250</v>
      </c>
    </row>
    <row r="58" spans="1:14" ht="21.75" customHeight="1" x14ac:dyDescent="0.15">
      <c r="A58" s="37">
        <v>28</v>
      </c>
      <c r="B58" s="37">
        <v>57</v>
      </c>
      <c r="C58" s="38">
        <v>46412</v>
      </c>
      <c r="D58" s="38">
        <v>46417</v>
      </c>
      <c r="E58" s="37">
        <v>1</v>
      </c>
      <c r="F58" s="39">
        <f>テーブル223[[#This Row],[終了日]]-テーブル223[[#This Row],[日程]]+1</f>
        <v>6</v>
      </c>
      <c r="G58" s="37" t="s">
        <v>80</v>
      </c>
      <c r="H58" s="40" t="s">
        <v>94</v>
      </c>
      <c r="I58" s="41" t="s">
        <v>72</v>
      </c>
      <c r="J58" s="37">
        <f>テーブル223[[#This Row],[終了日]]-テーブル223[[#This Row],[日程]]+1</f>
        <v>6</v>
      </c>
      <c r="K58" s="37">
        <v>9</v>
      </c>
      <c r="L58" s="42">
        <f>テーブル223[[#This Row],[税込み価格]]-テーブル223[[#This Row],[税抜き]]</f>
        <v>256651.90909090918</v>
      </c>
      <c r="M58" s="43">
        <f>テーブル223[[#This Row],[税込み価格]]/1.1</f>
        <v>2566519.0909090908</v>
      </c>
      <c r="N58" s="44">
        <v>2823171</v>
      </c>
    </row>
    <row r="59" spans="1:14" ht="21.75" customHeight="1" x14ac:dyDescent="0.15">
      <c r="A59" s="37">
        <v>28</v>
      </c>
      <c r="B59" s="37">
        <v>58</v>
      </c>
      <c r="C59" s="38">
        <v>46412</v>
      </c>
      <c r="D59" s="38">
        <v>46417</v>
      </c>
      <c r="E59" s="37">
        <v>1</v>
      </c>
      <c r="F59" s="39"/>
      <c r="G59" s="37" t="s">
        <v>80</v>
      </c>
      <c r="H59" s="46" t="s">
        <v>165</v>
      </c>
      <c r="I59" s="41" t="s">
        <v>72</v>
      </c>
      <c r="J59" s="37"/>
      <c r="K59" s="37"/>
      <c r="L59" s="42">
        <f>テーブル223[[#This Row],[税込み価格]]-テーブル223[[#This Row],[税抜き]]</f>
        <v>33750</v>
      </c>
      <c r="M59" s="43">
        <f>テーブル223[[#This Row],[税込み価格]]/1.1</f>
        <v>337500</v>
      </c>
      <c r="N59" s="44">
        <v>371250</v>
      </c>
    </row>
    <row r="60" spans="1:14" ht="21.75" customHeight="1" x14ac:dyDescent="0.15">
      <c r="A60" s="37">
        <v>29</v>
      </c>
      <c r="B60" s="37">
        <v>59</v>
      </c>
      <c r="C60" s="38">
        <v>46420</v>
      </c>
      <c r="D60" s="38">
        <v>46425</v>
      </c>
      <c r="E60" s="37">
        <v>2</v>
      </c>
      <c r="F60" s="39">
        <f>テーブル223[[#This Row],[終了日]]-テーブル223[[#This Row],[日程]]+1</f>
        <v>6</v>
      </c>
      <c r="G60" s="37" t="s">
        <v>81</v>
      </c>
      <c r="H60" s="40" t="s">
        <v>94</v>
      </c>
      <c r="I60" s="41" t="s">
        <v>51</v>
      </c>
      <c r="J60" s="37">
        <f>テーブル223[[#This Row],[終了日]]-テーブル223[[#This Row],[日程]]+1</f>
        <v>6</v>
      </c>
      <c r="K60" s="37">
        <v>7</v>
      </c>
      <c r="L60" s="42">
        <f>テーブル223[[#This Row],[税込み価格]]-テーブル223[[#This Row],[税抜き]]</f>
        <v>297572.00000000047</v>
      </c>
      <c r="M60" s="43">
        <f>テーブル223[[#This Row],[税込み価格]]/1.1</f>
        <v>2975719.9999999995</v>
      </c>
      <c r="N60" s="44">
        <v>3273292</v>
      </c>
    </row>
    <row r="61" spans="1:14" ht="21.75" customHeight="1" x14ac:dyDescent="0.15">
      <c r="A61" s="37">
        <v>29</v>
      </c>
      <c r="B61" s="37">
        <v>60</v>
      </c>
      <c r="C61" s="38">
        <v>46420</v>
      </c>
      <c r="D61" s="38">
        <v>46425</v>
      </c>
      <c r="E61" s="37">
        <v>2</v>
      </c>
      <c r="F61" s="39"/>
      <c r="G61" s="37" t="s">
        <v>81</v>
      </c>
      <c r="H61" s="54" t="s">
        <v>166</v>
      </c>
      <c r="I61" s="45" t="s">
        <v>51</v>
      </c>
      <c r="J61" s="37"/>
      <c r="K61" s="37"/>
      <c r="L61" s="42">
        <f>テーブル223[[#This Row],[税込み価格]]-テーブル223[[#This Row],[税抜き]]</f>
        <v>2750.0000000000036</v>
      </c>
      <c r="M61" s="43">
        <f>テーブル223[[#This Row],[税込み価格]]/1.1</f>
        <v>27499.999999999996</v>
      </c>
      <c r="N61" s="44">
        <v>30250</v>
      </c>
    </row>
    <row r="62" spans="1:14" ht="21.75" customHeight="1" x14ac:dyDescent="0.15">
      <c r="A62" s="37">
        <v>30</v>
      </c>
      <c r="B62" s="37">
        <v>61</v>
      </c>
      <c r="C62" s="38">
        <v>46428</v>
      </c>
      <c r="D62" s="38">
        <v>46433</v>
      </c>
      <c r="E62" s="37">
        <v>2</v>
      </c>
      <c r="F62" s="39">
        <f>テーブル223[[#This Row],[終了日]]-テーブル223[[#This Row],[日程]]+1</f>
        <v>6</v>
      </c>
      <c r="G62" s="37" t="s">
        <v>81</v>
      </c>
      <c r="H62" s="40" t="s">
        <v>94</v>
      </c>
      <c r="I62" s="41" t="s">
        <v>52</v>
      </c>
      <c r="J62" s="37">
        <f>テーブル223[[#This Row],[終了日]]-テーブル223[[#This Row],[日程]]+1</f>
        <v>6</v>
      </c>
      <c r="K62" s="37">
        <v>3</v>
      </c>
      <c r="L62" s="42">
        <f>テーブル223[[#This Row],[税込み価格]]-テーブル223[[#This Row],[税抜き]]</f>
        <v>297572.00000000047</v>
      </c>
      <c r="M62" s="43">
        <f>テーブル223[[#This Row],[税込み価格]]/1.1</f>
        <v>2975719.9999999995</v>
      </c>
      <c r="N62" s="44">
        <v>3273292</v>
      </c>
    </row>
    <row r="63" spans="1:14" ht="21.75" customHeight="1" x14ac:dyDescent="0.15">
      <c r="A63" s="37">
        <v>30</v>
      </c>
      <c r="B63" s="37">
        <v>62</v>
      </c>
      <c r="C63" s="38">
        <v>46428</v>
      </c>
      <c r="D63" s="38">
        <v>46433</v>
      </c>
      <c r="E63" s="37">
        <v>2</v>
      </c>
      <c r="F63" s="39"/>
      <c r="G63" s="37" t="s">
        <v>81</v>
      </c>
      <c r="H63" s="54" t="s">
        <v>166</v>
      </c>
      <c r="I63" s="45" t="s">
        <v>52</v>
      </c>
      <c r="J63" s="37"/>
      <c r="K63" s="37"/>
      <c r="L63" s="42">
        <f>テーブル223[[#This Row],[税込み価格]]-テーブル223[[#This Row],[税抜き]]</f>
        <v>2750.0000000000036</v>
      </c>
      <c r="M63" s="43">
        <f>テーブル223[[#This Row],[税込み価格]]/1.1</f>
        <v>27499.999999999996</v>
      </c>
      <c r="N63" s="44">
        <v>30250</v>
      </c>
    </row>
    <row r="64" spans="1:14" ht="21.75" customHeight="1" x14ac:dyDescent="0.15">
      <c r="A64" s="37">
        <v>31</v>
      </c>
      <c r="B64" s="37">
        <v>63</v>
      </c>
      <c r="C64" s="38">
        <v>46438</v>
      </c>
      <c r="D64" s="38">
        <v>46441</v>
      </c>
      <c r="E64" s="37">
        <v>2</v>
      </c>
      <c r="F64" s="39">
        <f>テーブル223[[#This Row],[終了日]]-テーブル223[[#This Row],[日程]]+1</f>
        <v>4</v>
      </c>
      <c r="G64" s="37" t="s">
        <v>80</v>
      </c>
      <c r="H64" s="40" t="s">
        <v>94</v>
      </c>
      <c r="I64" s="41" t="s">
        <v>74</v>
      </c>
      <c r="J64" s="37">
        <f>テーブル223[[#This Row],[終了日]]-テーブル223[[#This Row],[日程]]+1</f>
        <v>4</v>
      </c>
      <c r="K64" s="37">
        <v>9</v>
      </c>
      <c r="L64" s="42">
        <f>テーブル223[[#This Row],[税込み価格]]-テーブル223[[#This Row],[税抜き]]</f>
        <v>179937.90909090918</v>
      </c>
      <c r="M64" s="43">
        <f>テーブル223[[#This Row],[税込み価格]]/1.1</f>
        <v>1799379.0909090908</v>
      </c>
      <c r="N64" s="44">
        <v>1979317</v>
      </c>
    </row>
    <row r="65" spans="1:14" ht="21.75" customHeight="1" x14ac:dyDescent="0.15">
      <c r="A65" s="37">
        <v>31</v>
      </c>
      <c r="B65" s="37">
        <v>64</v>
      </c>
      <c r="C65" s="38">
        <v>46438</v>
      </c>
      <c r="D65" s="38">
        <v>46441</v>
      </c>
      <c r="E65" s="37">
        <v>2</v>
      </c>
      <c r="F65" s="39"/>
      <c r="G65" s="37" t="s">
        <v>80</v>
      </c>
      <c r="H65" s="46" t="s">
        <v>165</v>
      </c>
      <c r="I65" s="41" t="s">
        <v>74</v>
      </c>
      <c r="J65" s="37"/>
      <c r="K65" s="37"/>
      <c r="L65" s="42">
        <f>テーブル223[[#This Row],[税込み価格]]-テーブル223[[#This Row],[税抜き]]</f>
        <v>33750</v>
      </c>
      <c r="M65" s="43">
        <f>テーブル223[[#This Row],[税込み価格]]/1.1</f>
        <v>337500</v>
      </c>
      <c r="N65" s="44">
        <v>371250</v>
      </c>
    </row>
    <row r="66" spans="1:14" ht="21.75" customHeight="1" x14ac:dyDescent="0.15">
      <c r="A66" s="37">
        <v>32</v>
      </c>
      <c r="B66" s="37">
        <v>65</v>
      </c>
      <c r="C66" s="38">
        <v>46444</v>
      </c>
      <c r="D66" s="38">
        <v>46449</v>
      </c>
      <c r="E66" s="37">
        <v>3</v>
      </c>
      <c r="F66" s="39">
        <f>テーブル223[[#This Row],[終了日]]-テーブル223[[#This Row],[日程]]+1</f>
        <v>6</v>
      </c>
      <c r="G66" s="37" t="s">
        <v>80</v>
      </c>
      <c r="H66" s="40" t="s">
        <v>94</v>
      </c>
      <c r="I66" s="41" t="s">
        <v>76</v>
      </c>
      <c r="J66" s="37">
        <f>テーブル223[[#This Row],[終了日]]-テーブル223[[#This Row],[日程]]+1</f>
        <v>6</v>
      </c>
      <c r="K66" s="37">
        <v>5</v>
      </c>
      <c r="L66" s="42">
        <f>テーブル223[[#This Row],[税込み価格]]-テーブル223[[#This Row],[税抜き]]</f>
        <v>263911.90909090918</v>
      </c>
      <c r="M66" s="43">
        <f>テーブル223[[#This Row],[税込み価格]]/1.1</f>
        <v>2639119.0909090908</v>
      </c>
      <c r="N66" s="44">
        <v>2903031</v>
      </c>
    </row>
    <row r="67" spans="1:14" ht="21.75" customHeight="1" x14ac:dyDescent="0.15">
      <c r="A67" s="37">
        <v>32</v>
      </c>
      <c r="B67" s="37">
        <v>66</v>
      </c>
      <c r="C67" s="38">
        <v>46444</v>
      </c>
      <c r="D67" s="38">
        <v>46449</v>
      </c>
      <c r="E67" s="37">
        <v>3</v>
      </c>
      <c r="F67" s="39"/>
      <c r="G67" s="37" t="s">
        <v>80</v>
      </c>
      <c r="H67" s="46" t="s">
        <v>165</v>
      </c>
      <c r="I67" s="41" t="s">
        <v>76</v>
      </c>
      <c r="J67" s="37"/>
      <c r="K67" s="37"/>
      <c r="L67" s="42">
        <f>テーブル223[[#This Row],[税込み価格]]-テーブル223[[#This Row],[税抜き]]</f>
        <v>33750</v>
      </c>
      <c r="M67" s="43">
        <f>テーブル223[[#This Row],[税込み価格]]/1.1</f>
        <v>337500</v>
      </c>
      <c r="N67" s="44">
        <v>371250</v>
      </c>
    </row>
    <row r="68" spans="1:14" ht="21.75" customHeight="1" x14ac:dyDescent="0.15">
      <c r="A68" s="37">
        <v>33</v>
      </c>
      <c r="B68" s="37">
        <v>67</v>
      </c>
      <c r="C68" s="38">
        <v>46452</v>
      </c>
      <c r="D68" s="38">
        <v>46457</v>
      </c>
      <c r="E68" s="37">
        <v>3</v>
      </c>
      <c r="F68" s="39">
        <f>テーブル223[[#This Row],[終了日]]-テーブル223[[#This Row],[日程]]+1</f>
        <v>6</v>
      </c>
      <c r="G68" s="37" t="s">
        <v>81</v>
      </c>
      <c r="H68" s="40" t="s">
        <v>94</v>
      </c>
      <c r="I68" s="41" t="s">
        <v>53</v>
      </c>
      <c r="J68" s="37">
        <f>テーブル223[[#This Row],[終了日]]-テーブル223[[#This Row],[日程]]+1</f>
        <v>6</v>
      </c>
      <c r="K68" s="37">
        <v>8</v>
      </c>
      <c r="L68" s="42">
        <f>テーブル223[[#This Row],[税込み価格]]-テーブル223[[#This Row],[税抜き]]</f>
        <v>297572.00000000047</v>
      </c>
      <c r="M68" s="44">
        <f>テーブル223[[#This Row],[税込み価格]]/1.1</f>
        <v>2975719.9999999995</v>
      </c>
      <c r="N68" s="44">
        <v>3273292</v>
      </c>
    </row>
    <row r="69" spans="1:14" ht="21.75" customHeight="1" x14ac:dyDescent="0.15">
      <c r="A69" s="37">
        <v>33</v>
      </c>
      <c r="B69" s="37">
        <v>68</v>
      </c>
      <c r="C69" s="38">
        <v>46452</v>
      </c>
      <c r="D69" s="38">
        <v>46457</v>
      </c>
      <c r="E69" s="37">
        <v>3</v>
      </c>
      <c r="F69" s="39"/>
      <c r="G69" s="37" t="s">
        <v>81</v>
      </c>
      <c r="H69" s="54" t="s">
        <v>166</v>
      </c>
      <c r="I69" s="45" t="s">
        <v>53</v>
      </c>
      <c r="J69" s="37"/>
      <c r="K69" s="37"/>
      <c r="L69" s="42">
        <f>テーブル223[[#This Row],[税込み価格]]-テーブル223[[#This Row],[税抜き]]</f>
        <v>2750.0000000000036</v>
      </c>
      <c r="M69" s="44">
        <f>テーブル223[[#This Row],[税込み価格]]/1.1</f>
        <v>27499.999999999996</v>
      </c>
      <c r="N69" s="44">
        <v>30250</v>
      </c>
    </row>
    <row r="70" spans="1:14" ht="21.75" customHeight="1" x14ac:dyDescent="0.15">
      <c r="A70" s="37">
        <v>34</v>
      </c>
      <c r="B70" s="37">
        <v>69</v>
      </c>
      <c r="C70" s="38">
        <v>46464</v>
      </c>
      <c r="D70" s="38">
        <v>46468</v>
      </c>
      <c r="E70" s="37">
        <v>3</v>
      </c>
      <c r="F70" s="39">
        <f>テーブル223[[#This Row],[終了日]]-テーブル223[[#This Row],[日程]]+1</f>
        <v>5</v>
      </c>
      <c r="G70" s="37" t="s">
        <v>81</v>
      </c>
      <c r="H70" s="40" t="s">
        <v>94</v>
      </c>
      <c r="I70" s="41" t="s">
        <v>54</v>
      </c>
      <c r="J70" s="37">
        <f>テーブル223[[#This Row],[終了日]]-テーブル223[[#This Row],[日程]]+1</f>
        <v>5</v>
      </c>
      <c r="K70" s="37">
        <v>3</v>
      </c>
      <c r="L70" s="42">
        <f>テーブル223[[#This Row],[税込み価格]]-テーブル223[[#This Row],[税抜き]]</f>
        <v>255585</v>
      </c>
      <c r="M70" s="43">
        <f>テーブル223[[#This Row],[税込み価格]]/1.1</f>
        <v>2555850</v>
      </c>
      <c r="N70" s="44">
        <v>2811435</v>
      </c>
    </row>
    <row r="71" spans="1:14" ht="21.75" customHeight="1" x14ac:dyDescent="0.15">
      <c r="A71" s="37">
        <v>34</v>
      </c>
      <c r="B71" s="37">
        <v>70</v>
      </c>
      <c r="C71" s="38">
        <v>46464</v>
      </c>
      <c r="D71" s="38">
        <v>46468</v>
      </c>
      <c r="E71" s="37">
        <v>3</v>
      </c>
      <c r="F71" s="39"/>
      <c r="G71" s="37" t="s">
        <v>81</v>
      </c>
      <c r="H71" s="54" t="s">
        <v>166</v>
      </c>
      <c r="I71" s="45" t="s">
        <v>54</v>
      </c>
      <c r="J71" s="37"/>
      <c r="K71" s="37"/>
      <c r="L71" s="42">
        <f>テーブル223[[#This Row],[税込み価格]]-テーブル223[[#This Row],[税抜き]]</f>
        <v>2750.0000000000036</v>
      </c>
      <c r="M71" s="43">
        <f>テーブル223[[#This Row],[税込み価格]]/1.1</f>
        <v>27499.999999999996</v>
      </c>
      <c r="N71" s="44">
        <v>30250</v>
      </c>
    </row>
    <row r="72" spans="1:14" ht="21.75" customHeight="1" x14ac:dyDescent="0.15">
      <c r="A72" s="37">
        <v>35</v>
      </c>
      <c r="B72" s="37">
        <v>71</v>
      </c>
      <c r="C72" s="38">
        <v>46470</v>
      </c>
      <c r="D72" s="38">
        <v>46475</v>
      </c>
      <c r="E72" s="37">
        <v>3</v>
      </c>
      <c r="F72" s="39">
        <f>テーブル223[[#This Row],[終了日]]-テーブル223[[#This Row],[日程]]+1</f>
        <v>6</v>
      </c>
      <c r="G72" s="37" t="s">
        <v>80</v>
      </c>
      <c r="H72" s="40" t="s">
        <v>94</v>
      </c>
      <c r="I72" s="41" t="s">
        <v>78</v>
      </c>
      <c r="J72" s="37">
        <f>テーブル223[[#This Row],[終了日]]-テーブル223[[#This Row],[日程]]+1</f>
        <v>6</v>
      </c>
      <c r="K72" s="37">
        <v>10</v>
      </c>
      <c r="L72" s="42">
        <f>テーブル223[[#This Row],[税込み価格]]-テーブル223[[#This Row],[税抜き]]</f>
        <v>242132</v>
      </c>
      <c r="M72" s="43">
        <f>テーブル223[[#This Row],[税込み価格]]/1.1</f>
        <v>2421320</v>
      </c>
      <c r="N72" s="44">
        <v>2663452</v>
      </c>
    </row>
    <row r="73" spans="1:14" ht="21.75" customHeight="1" x14ac:dyDescent="0.15">
      <c r="A73" s="37">
        <v>35</v>
      </c>
      <c r="B73" s="37">
        <v>72</v>
      </c>
      <c r="C73" s="38">
        <v>46470</v>
      </c>
      <c r="D73" s="38">
        <v>46475</v>
      </c>
      <c r="E73" s="37">
        <v>3</v>
      </c>
      <c r="F73" s="39"/>
      <c r="G73" s="37" t="s">
        <v>80</v>
      </c>
      <c r="H73" s="46" t="s">
        <v>165</v>
      </c>
      <c r="I73" s="41" t="s">
        <v>78</v>
      </c>
      <c r="J73" s="37"/>
      <c r="K73" s="37"/>
      <c r="L73" s="42">
        <f>テーブル223[[#This Row],[税込み価格]]-テーブル223[[#This Row],[税抜き]]</f>
        <v>33750</v>
      </c>
      <c r="M73" s="43">
        <f>テーブル223[[#This Row],[税込み価格]]/1.1</f>
        <v>337500</v>
      </c>
      <c r="N73" s="44">
        <v>371250</v>
      </c>
    </row>
    <row r="74" spans="1:14" ht="9.75" customHeight="1" x14ac:dyDescent="0.15">
      <c r="A74" s="37"/>
      <c r="B74" s="37"/>
      <c r="C74" s="48"/>
      <c r="D74" s="48"/>
      <c r="E74" s="48"/>
      <c r="F74" s="37"/>
      <c r="G74" s="37"/>
      <c r="H74" s="37"/>
      <c r="I74" s="41"/>
      <c r="J74" s="37"/>
      <c r="K74" s="37"/>
      <c r="L74" s="42"/>
      <c r="M74" s="43"/>
      <c r="N74" s="44"/>
    </row>
    <row r="75" spans="1:14" ht="30" customHeight="1" x14ac:dyDescent="0.15">
      <c r="A75" s="34"/>
      <c r="B75" s="34"/>
      <c r="C75" s="34"/>
      <c r="D75" s="34"/>
      <c r="E75" s="34"/>
      <c r="F75" s="36">
        <f>SUBTOTAL(109,テーブル223[列1])</f>
        <v>198</v>
      </c>
      <c r="G75" s="34"/>
      <c r="H75" s="34"/>
      <c r="I75" s="35"/>
      <c r="J75" s="34">
        <f>SUBTOTAL(109,テーブル223[日数])</f>
        <v>198</v>
      </c>
      <c r="K75" s="34"/>
      <c r="L75" s="57">
        <f>SUBTOTAL(109,テーブル223[消費税])</f>
        <v>10596250.181818191</v>
      </c>
      <c r="M75" s="57">
        <f>SUBTOTAL(109,テーブル223[税抜き])</f>
        <v>105962501.81818183</v>
      </c>
      <c r="N75" s="57">
        <f>SUBTOTAL(109,テーブル223[税込み価格])</f>
        <v>116558752</v>
      </c>
    </row>
  </sheetData>
  <phoneticPr fontId="8"/>
  <conditionalFormatting sqref="G1:G1048576">
    <cfRule type="cellIs" dxfId="9" priority="4" operator="equal">
      <formula>"箕面"</formula>
    </cfRule>
    <cfRule type="cellIs" dxfId="8" priority="5" operator="equal">
      <formula>"都市"</formula>
    </cfRule>
  </conditionalFormatting>
  <conditionalFormatting sqref="H2:H73">
    <cfRule type="cellIs" dxfId="7" priority="1" operator="equal">
      <formula>"臨時"</formula>
    </cfRule>
    <cfRule type="cellIs" dxfId="6" priority="2" operator="equal">
      <formula>"ゼミナール"</formula>
    </cfRule>
    <cfRule type="cellIs" dxfId="5" priority="3" operator="equal">
      <formula>"アクア"</formula>
    </cfRule>
  </conditionalFormatting>
  <dataValidations disablePrompts="1" count="1">
    <dataValidation type="list" allowBlank="1" showInputMessage="1" showErrorMessage="1" sqref="O1:O75" xr:uid="{ED77140D-8148-4D8B-8B21-CF97CBC0F635}">
      <formula1>"☑"</formula1>
    </dataValidation>
  </dataValidations>
  <pageMargins left="0.7" right="0.7" top="0.75" bottom="0.75" header="0.3" footer="0.3"/>
  <pageSetup paperSize="9" scale="46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G9" sqref="G9"/>
    </sheetView>
  </sheetViews>
  <sheetFormatPr defaultRowHeight="13.5" x14ac:dyDescent="0.15"/>
  <cols>
    <col min="1" max="1" width="5.625" style="2" customWidth="1"/>
    <col min="2" max="2" width="11.375" customWidth="1"/>
    <col min="4" max="4" width="58.375" customWidth="1"/>
    <col min="5" max="6" width="9" style="2"/>
  </cols>
  <sheetData>
    <row r="1" spans="1:6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A2" s="2">
        <v>1</v>
      </c>
      <c r="B2" t="s">
        <v>5</v>
      </c>
      <c r="C2" t="s">
        <v>25</v>
      </c>
      <c r="D2" t="s">
        <v>35</v>
      </c>
      <c r="E2" s="2">
        <v>6</v>
      </c>
      <c r="F2" s="2" t="s">
        <v>55</v>
      </c>
    </row>
    <row r="3" spans="1:6" x14ac:dyDescent="0.15">
      <c r="A3" s="2">
        <v>2</v>
      </c>
      <c r="B3" t="s">
        <v>6</v>
      </c>
      <c r="C3" t="s">
        <v>26</v>
      </c>
      <c r="D3" t="s">
        <v>36</v>
      </c>
      <c r="E3" s="2">
        <v>7</v>
      </c>
      <c r="F3" s="2" t="s">
        <v>55</v>
      </c>
    </row>
    <row r="4" spans="1:6" x14ac:dyDescent="0.15">
      <c r="A4" s="2">
        <v>3</v>
      </c>
      <c r="B4" t="s">
        <v>7</v>
      </c>
      <c r="C4" t="s">
        <v>27</v>
      </c>
      <c r="D4" t="s">
        <v>37</v>
      </c>
      <c r="E4" s="2">
        <v>4</v>
      </c>
      <c r="F4" s="2" t="s">
        <v>55</v>
      </c>
    </row>
    <row r="5" spans="1:6" x14ac:dyDescent="0.15">
      <c r="A5" s="2">
        <v>4</v>
      </c>
      <c r="B5" t="s">
        <v>8</v>
      </c>
      <c r="C5" t="s">
        <v>28</v>
      </c>
      <c r="D5" t="s">
        <v>38</v>
      </c>
      <c r="E5" s="2">
        <v>5</v>
      </c>
      <c r="F5" s="2" t="s">
        <v>55</v>
      </c>
    </row>
    <row r="6" spans="1:6" x14ac:dyDescent="0.15">
      <c r="A6" s="2">
        <v>5</v>
      </c>
      <c r="B6" t="s">
        <v>9</v>
      </c>
      <c r="C6" t="s">
        <v>29</v>
      </c>
      <c r="D6" t="s">
        <v>39</v>
      </c>
      <c r="E6" s="2">
        <v>5</v>
      </c>
      <c r="F6" s="2" t="s">
        <v>55</v>
      </c>
    </row>
    <row r="7" spans="1:6" x14ac:dyDescent="0.15">
      <c r="A7" s="2">
        <v>6</v>
      </c>
      <c r="B7" t="s">
        <v>10</v>
      </c>
      <c r="C7" t="s">
        <v>30</v>
      </c>
      <c r="D7" t="s">
        <v>40</v>
      </c>
      <c r="E7" s="2">
        <v>6</v>
      </c>
      <c r="F7" s="2" t="s">
        <v>55</v>
      </c>
    </row>
    <row r="8" spans="1:6" x14ac:dyDescent="0.15">
      <c r="A8" s="2">
        <v>7</v>
      </c>
      <c r="B8" t="s">
        <v>11</v>
      </c>
      <c r="C8" t="s">
        <v>31</v>
      </c>
      <c r="D8" t="s">
        <v>41</v>
      </c>
      <c r="E8" s="2">
        <v>7</v>
      </c>
      <c r="F8" s="2" t="s">
        <v>55</v>
      </c>
    </row>
    <row r="9" spans="1:6" x14ac:dyDescent="0.15">
      <c r="A9" s="2">
        <v>8</v>
      </c>
      <c r="B9" t="s">
        <v>12</v>
      </c>
      <c r="C9" t="s">
        <v>32</v>
      </c>
      <c r="D9" t="s">
        <v>42</v>
      </c>
      <c r="E9" s="2">
        <v>4</v>
      </c>
      <c r="F9" s="2" t="s">
        <v>55</v>
      </c>
    </row>
    <row r="10" spans="1:6" x14ac:dyDescent="0.15">
      <c r="A10" s="2">
        <v>9</v>
      </c>
      <c r="B10" t="s">
        <v>13</v>
      </c>
      <c r="C10" t="s">
        <v>25</v>
      </c>
      <c r="D10" t="s">
        <v>43</v>
      </c>
      <c r="E10" s="2">
        <v>6</v>
      </c>
      <c r="F10" s="2" t="s">
        <v>55</v>
      </c>
    </row>
    <row r="11" spans="1:6" x14ac:dyDescent="0.15">
      <c r="A11" s="2">
        <v>10</v>
      </c>
      <c r="B11" t="s">
        <v>14</v>
      </c>
      <c r="C11" t="s">
        <v>25</v>
      </c>
      <c r="D11" t="s">
        <v>44</v>
      </c>
      <c r="E11" s="2">
        <v>6</v>
      </c>
      <c r="F11" s="2" t="s">
        <v>55</v>
      </c>
    </row>
    <row r="12" spans="1:6" x14ac:dyDescent="0.15">
      <c r="A12" s="2">
        <v>11</v>
      </c>
      <c r="B12" t="s">
        <v>15</v>
      </c>
      <c r="C12" t="s">
        <v>33</v>
      </c>
      <c r="D12" t="s">
        <v>45</v>
      </c>
      <c r="E12" s="2">
        <v>6</v>
      </c>
      <c r="F12" s="2" t="s">
        <v>55</v>
      </c>
    </row>
    <row r="13" spans="1:6" x14ac:dyDescent="0.15">
      <c r="A13" s="2">
        <v>12</v>
      </c>
      <c r="B13" t="s">
        <v>16</v>
      </c>
      <c r="C13" t="s">
        <v>25</v>
      </c>
      <c r="D13" t="s">
        <v>46</v>
      </c>
      <c r="E13" s="2">
        <v>6</v>
      </c>
      <c r="F13" s="2" t="s">
        <v>55</v>
      </c>
    </row>
    <row r="14" spans="1:6" x14ac:dyDescent="0.15">
      <c r="A14" s="2">
        <v>13</v>
      </c>
      <c r="B14" t="s">
        <v>17</v>
      </c>
      <c r="C14" t="s">
        <v>25</v>
      </c>
      <c r="D14" t="s">
        <v>47</v>
      </c>
      <c r="E14" s="2">
        <v>6</v>
      </c>
      <c r="F14" s="2" t="s">
        <v>55</v>
      </c>
    </row>
    <row r="15" spans="1:6" x14ac:dyDescent="0.15">
      <c r="A15" s="2">
        <v>14</v>
      </c>
      <c r="B15" t="s">
        <v>18</v>
      </c>
      <c r="C15" t="s">
        <v>29</v>
      </c>
      <c r="D15" t="s">
        <v>48</v>
      </c>
      <c r="E15" s="2">
        <v>5</v>
      </c>
      <c r="F15" s="2" t="s">
        <v>55</v>
      </c>
    </row>
    <row r="16" spans="1:6" x14ac:dyDescent="0.15">
      <c r="A16" s="2">
        <v>15</v>
      </c>
      <c r="B16" t="s">
        <v>19</v>
      </c>
      <c r="C16" t="s">
        <v>30</v>
      </c>
      <c r="D16" t="s">
        <v>49</v>
      </c>
      <c r="E16" s="2">
        <v>6</v>
      </c>
      <c r="F16" s="2" t="s">
        <v>56</v>
      </c>
    </row>
    <row r="17" spans="1:6" x14ac:dyDescent="0.15">
      <c r="A17" s="2">
        <v>16</v>
      </c>
      <c r="B17" t="s">
        <v>20</v>
      </c>
      <c r="C17" t="s">
        <v>25</v>
      </c>
      <c r="D17" t="s">
        <v>50</v>
      </c>
      <c r="E17" s="2">
        <v>6</v>
      </c>
      <c r="F17" s="2" t="s">
        <v>56</v>
      </c>
    </row>
    <row r="18" spans="1:6" x14ac:dyDescent="0.15">
      <c r="A18" s="2">
        <v>17</v>
      </c>
      <c r="B18" t="s">
        <v>21</v>
      </c>
      <c r="C18" t="s">
        <v>25</v>
      </c>
      <c r="D18" t="s">
        <v>51</v>
      </c>
      <c r="E18" s="2">
        <v>6</v>
      </c>
      <c r="F18" s="2" t="s">
        <v>55</v>
      </c>
    </row>
    <row r="19" spans="1:6" x14ac:dyDescent="0.15">
      <c r="A19" s="2">
        <v>18</v>
      </c>
      <c r="B19" t="s">
        <v>22</v>
      </c>
      <c r="C19" t="s">
        <v>33</v>
      </c>
      <c r="D19" t="s">
        <v>52</v>
      </c>
      <c r="E19" s="2">
        <v>6</v>
      </c>
      <c r="F19" s="2" t="s">
        <v>55</v>
      </c>
    </row>
    <row r="20" spans="1:6" x14ac:dyDescent="0.15">
      <c r="A20" s="2">
        <v>19</v>
      </c>
      <c r="B20" t="s">
        <v>23</v>
      </c>
      <c r="C20" t="s">
        <v>25</v>
      </c>
      <c r="D20" t="s">
        <v>53</v>
      </c>
      <c r="E20" s="2">
        <v>6</v>
      </c>
      <c r="F20" s="2" t="s">
        <v>55</v>
      </c>
    </row>
    <row r="21" spans="1:6" x14ac:dyDescent="0.15">
      <c r="A21" s="2">
        <v>20</v>
      </c>
      <c r="B21" t="s">
        <v>24</v>
      </c>
      <c r="C21" t="s">
        <v>34</v>
      </c>
      <c r="D21" t="s">
        <v>54</v>
      </c>
      <c r="E21" s="2">
        <v>5</v>
      </c>
      <c r="F21" s="2" t="s">
        <v>55</v>
      </c>
    </row>
  </sheetData>
  <phoneticPr fontId="8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2F7D-294F-4F8A-B49E-826FF3A96555}">
  <dimension ref="A2:B19"/>
  <sheetViews>
    <sheetView workbookViewId="0">
      <selection activeCell="B2" sqref="B2:B16"/>
    </sheetView>
  </sheetViews>
  <sheetFormatPr defaultRowHeight="13.5" x14ac:dyDescent="0.15"/>
  <cols>
    <col min="1" max="1" width="9" style="2"/>
    <col min="2" max="2" width="50.875" customWidth="1"/>
  </cols>
  <sheetData>
    <row r="2" spans="1:2" ht="27" customHeight="1" x14ac:dyDescent="0.15">
      <c r="A2" s="2">
        <v>1</v>
      </c>
      <c r="B2" t="s">
        <v>57</v>
      </c>
    </row>
    <row r="3" spans="1:2" ht="27" customHeight="1" x14ac:dyDescent="0.15">
      <c r="A3" s="2">
        <v>2</v>
      </c>
      <c r="B3" t="s">
        <v>58</v>
      </c>
    </row>
    <row r="4" spans="1:2" ht="27" customHeight="1" x14ac:dyDescent="0.15">
      <c r="A4" s="2">
        <v>3</v>
      </c>
      <c r="B4" t="s">
        <v>60</v>
      </c>
    </row>
    <row r="5" spans="1:2" ht="27" customHeight="1" x14ac:dyDescent="0.15">
      <c r="A5" s="2">
        <v>4</v>
      </c>
      <c r="B5" s="3" t="s">
        <v>62</v>
      </c>
    </row>
    <row r="6" spans="1:2" ht="27" customHeight="1" x14ac:dyDescent="0.15">
      <c r="A6" s="2">
        <v>5</v>
      </c>
      <c r="B6" t="s">
        <v>64</v>
      </c>
    </row>
    <row r="7" spans="1:2" ht="27" customHeight="1" x14ac:dyDescent="0.15">
      <c r="A7" s="2">
        <v>6</v>
      </c>
      <c r="B7" t="s">
        <v>66</v>
      </c>
    </row>
    <row r="8" spans="1:2" ht="27" customHeight="1" x14ac:dyDescent="0.15">
      <c r="A8" s="2">
        <v>7</v>
      </c>
      <c r="B8" t="s">
        <v>67</v>
      </c>
    </row>
    <row r="9" spans="1:2" ht="27" customHeight="1" x14ac:dyDescent="0.15">
      <c r="A9" s="2">
        <v>8</v>
      </c>
      <c r="B9" t="s">
        <v>68</v>
      </c>
    </row>
    <row r="10" spans="1:2" ht="27" customHeight="1" x14ac:dyDescent="0.15">
      <c r="A10" s="2">
        <v>9</v>
      </c>
      <c r="B10" t="s">
        <v>69</v>
      </c>
    </row>
    <row r="11" spans="1:2" ht="27" customHeight="1" x14ac:dyDescent="0.15">
      <c r="A11" s="2">
        <v>10</v>
      </c>
      <c r="B11" t="s">
        <v>70</v>
      </c>
    </row>
    <row r="12" spans="1:2" ht="27" customHeight="1" x14ac:dyDescent="0.15">
      <c r="A12" s="2">
        <v>11</v>
      </c>
      <c r="B12" t="s">
        <v>71</v>
      </c>
    </row>
    <row r="13" spans="1:2" ht="27" customHeight="1" x14ac:dyDescent="0.15">
      <c r="A13" s="2">
        <v>12</v>
      </c>
      <c r="B13" t="s">
        <v>73</v>
      </c>
    </row>
    <row r="14" spans="1:2" ht="27" customHeight="1" x14ac:dyDescent="0.15">
      <c r="A14" s="2">
        <v>13</v>
      </c>
      <c r="B14" t="s">
        <v>75</v>
      </c>
    </row>
    <row r="15" spans="1:2" ht="27" customHeight="1" x14ac:dyDescent="0.15">
      <c r="A15" s="2">
        <v>14</v>
      </c>
      <c r="B15" t="s">
        <v>77</v>
      </c>
    </row>
    <row r="16" spans="1:2" ht="27" customHeight="1" x14ac:dyDescent="0.15">
      <c r="A16" s="2">
        <v>15</v>
      </c>
      <c r="B16" t="s">
        <v>79</v>
      </c>
    </row>
    <row r="17" ht="27" customHeight="1" x14ac:dyDescent="0.15"/>
    <row r="18" ht="27" customHeight="1" x14ac:dyDescent="0.15"/>
    <row r="19" ht="27" customHeight="1" x14ac:dyDescent="0.15"/>
  </sheetData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FA20-EF85-45B8-8D0D-D7554601A31A}">
  <dimension ref="A2:C36"/>
  <sheetViews>
    <sheetView workbookViewId="0">
      <selection activeCell="C2" sqref="C2:C36"/>
    </sheetView>
  </sheetViews>
  <sheetFormatPr defaultRowHeight="13.5" x14ac:dyDescent="0.15"/>
  <cols>
    <col min="2" max="2" width="61.25" customWidth="1"/>
  </cols>
  <sheetData>
    <row r="2" spans="1:3" x14ac:dyDescent="0.15">
      <c r="A2">
        <v>1</v>
      </c>
      <c r="B2" t="s">
        <v>35</v>
      </c>
      <c r="C2" s="6" t="s">
        <v>81</v>
      </c>
    </row>
    <row r="3" spans="1:3" x14ac:dyDescent="0.15">
      <c r="A3">
        <v>2</v>
      </c>
      <c r="B3" s="4" t="s">
        <v>57</v>
      </c>
      <c r="C3" t="s">
        <v>80</v>
      </c>
    </row>
    <row r="4" spans="1:3" x14ac:dyDescent="0.15">
      <c r="A4">
        <v>3</v>
      </c>
      <c r="B4" t="s">
        <v>36</v>
      </c>
      <c r="C4" s="7" t="s">
        <v>81</v>
      </c>
    </row>
    <row r="5" spans="1:3" x14ac:dyDescent="0.15">
      <c r="A5">
        <v>4</v>
      </c>
      <c r="B5" s="4" t="s">
        <v>58</v>
      </c>
      <c r="C5" t="s">
        <v>80</v>
      </c>
    </row>
    <row r="6" spans="1:3" x14ac:dyDescent="0.15">
      <c r="A6">
        <v>5</v>
      </c>
      <c r="B6" t="s">
        <v>37</v>
      </c>
      <c r="C6" s="7" t="s">
        <v>81</v>
      </c>
    </row>
    <row r="7" spans="1:3" x14ac:dyDescent="0.15">
      <c r="A7">
        <v>6</v>
      </c>
      <c r="B7" t="s">
        <v>38</v>
      </c>
      <c r="C7" s="7" t="s">
        <v>81</v>
      </c>
    </row>
    <row r="8" spans="1:3" x14ac:dyDescent="0.15">
      <c r="A8">
        <v>7</v>
      </c>
      <c r="B8" t="s">
        <v>39</v>
      </c>
      <c r="C8" s="7" t="s">
        <v>81</v>
      </c>
    </row>
    <row r="9" spans="1:3" x14ac:dyDescent="0.15">
      <c r="A9">
        <v>8</v>
      </c>
      <c r="B9" s="4" t="s">
        <v>60</v>
      </c>
      <c r="C9" t="s">
        <v>80</v>
      </c>
    </row>
    <row r="10" spans="1:3" x14ac:dyDescent="0.15">
      <c r="A10">
        <v>9</v>
      </c>
      <c r="B10" t="s">
        <v>40</v>
      </c>
      <c r="C10" s="7" t="s">
        <v>81</v>
      </c>
    </row>
    <row r="11" spans="1:3" ht="27" x14ac:dyDescent="0.15">
      <c r="A11">
        <v>10</v>
      </c>
      <c r="B11" s="5" t="s">
        <v>62</v>
      </c>
      <c r="C11" t="s">
        <v>80</v>
      </c>
    </row>
    <row r="12" spans="1:3" x14ac:dyDescent="0.15">
      <c r="A12">
        <v>11</v>
      </c>
      <c r="B12" t="s">
        <v>41</v>
      </c>
      <c r="C12" s="6" t="s">
        <v>81</v>
      </c>
    </row>
    <row r="13" spans="1:3" x14ac:dyDescent="0.15">
      <c r="A13">
        <v>12</v>
      </c>
      <c r="B13" t="s">
        <v>42</v>
      </c>
      <c r="C13" s="7" t="s">
        <v>81</v>
      </c>
    </row>
    <row r="14" spans="1:3" x14ac:dyDescent="0.15">
      <c r="A14">
        <v>13</v>
      </c>
      <c r="B14" t="s">
        <v>43</v>
      </c>
      <c r="C14" s="7" t="s">
        <v>81</v>
      </c>
    </row>
    <row r="15" spans="1:3" x14ac:dyDescent="0.15">
      <c r="A15">
        <v>14</v>
      </c>
      <c r="B15" s="4" t="s">
        <v>64</v>
      </c>
      <c r="C15" t="s">
        <v>80</v>
      </c>
    </row>
    <row r="16" spans="1:3" x14ac:dyDescent="0.15">
      <c r="A16">
        <v>15</v>
      </c>
      <c r="B16" t="s">
        <v>44</v>
      </c>
      <c r="C16" s="7" t="s">
        <v>81</v>
      </c>
    </row>
    <row r="17" spans="1:3" x14ac:dyDescent="0.15">
      <c r="A17">
        <v>16</v>
      </c>
      <c r="B17" t="s">
        <v>45</v>
      </c>
      <c r="C17" s="7" t="s">
        <v>81</v>
      </c>
    </row>
    <row r="18" spans="1:3" x14ac:dyDescent="0.15">
      <c r="A18">
        <v>17</v>
      </c>
      <c r="B18" s="4" t="s">
        <v>66</v>
      </c>
      <c r="C18" t="s">
        <v>80</v>
      </c>
    </row>
    <row r="19" spans="1:3" x14ac:dyDescent="0.15">
      <c r="A19">
        <v>18</v>
      </c>
      <c r="B19" t="s">
        <v>46</v>
      </c>
      <c r="C19" s="7" t="s">
        <v>81</v>
      </c>
    </row>
    <row r="20" spans="1:3" x14ac:dyDescent="0.15">
      <c r="A20">
        <v>19</v>
      </c>
      <c r="B20" s="4" t="s">
        <v>67</v>
      </c>
      <c r="C20" t="s">
        <v>80</v>
      </c>
    </row>
    <row r="21" spans="1:3" x14ac:dyDescent="0.15">
      <c r="A21">
        <v>20</v>
      </c>
      <c r="B21" s="4" t="s">
        <v>68</v>
      </c>
      <c r="C21" t="s">
        <v>80</v>
      </c>
    </row>
    <row r="22" spans="1:3" x14ac:dyDescent="0.15">
      <c r="A22">
        <v>21</v>
      </c>
      <c r="B22" s="4" t="s">
        <v>69</v>
      </c>
      <c r="C22" t="s">
        <v>80</v>
      </c>
    </row>
    <row r="23" spans="1:3" x14ac:dyDescent="0.15">
      <c r="A23">
        <v>22</v>
      </c>
      <c r="B23" t="s">
        <v>47</v>
      </c>
      <c r="C23" s="7" t="s">
        <v>81</v>
      </c>
    </row>
    <row r="24" spans="1:3" x14ac:dyDescent="0.15">
      <c r="A24">
        <v>23</v>
      </c>
      <c r="B24" t="s">
        <v>48</v>
      </c>
      <c r="C24" s="7" t="s">
        <v>81</v>
      </c>
    </row>
    <row r="25" spans="1:3" x14ac:dyDescent="0.15">
      <c r="A25">
        <v>24</v>
      </c>
      <c r="B25" s="4" t="s">
        <v>70</v>
      </c>
      <c r="C25" t="s">
        <v>80</v>
      </c>
    </row>
    <row r="26" spans="1:3" x14ac:dyDescent="0.15">
      <c r="A26">
        <v>25</v>
      </c>
      <c r="B26" t="s">
        <v>49</v>
      </c>
      <c r="C26" s="7" t="s">
        <v>81</v>
      </c>
    </row>
    <row r="27" spans="1:3" x14ac:dyDescent="0.15">
      <c r="A27">
        <v>26</v>
      </c>
      <c r="B27" t="s">
        <v>50</v>
      </c>
      <c r="C27" s="7" t="s">
        <v>81</v>
      </c>
    </row>
    <row r="28" spans="1:3" x14ac:dyDescent="0.15">
      <c r="A28">
        <v>27</v>
      </c>
      <c r="B28" s="4" t="s">
        <v>71</v>
      </c>
      <c r="C28" t="s">
        <v>80</v>
      </c>
    </row>
    <row r="29" spans="1:3" x14ac:dyDescent="0.15">
      <c r="A29">
        <v>28</v>
      </c>
      <c r="B29" s="4" t="s">
        <v>73</v>
      </c>
      <c r="C29" t="s">
        <v>80</v>
      </c>
    </row>
    <row r="30" spans="1:3" x14ac:dyDescent="0.15">
      <c r="A30">
        <v>29</v>
      </c>
      <c r="B30" t="s">
        <v>51</v>
      </c>
      <c r="C30" s="7" t="s">
        <v>81</v>
      </c>
    </row>
    <row r="31" spans="1:3" x14ac:dyDescent="0.15">
      <c r="A31">
        <v>30</v>
      </c>
      <c r="B31" t="s">
        <v>52</v>
      </c>
      <c r="C31" s="7" t="s">
        <v>81</v>
      </c>
    </row>
    <row r="32" spans="1:3" x14ac:dyDescent="0.15">
      <c r="A32">
        <v>31</v>
      </c>
      <c r="B32" s="4" t="s">
        <v>75</v>
      </c>
      <c r="C32" t="s">
        <v>80</v>
      </c>
    </row>
    <row r="33" spans="1:3" x14ac:dyDescent="0.15">
      <c r="A33">
        <v>32</v>
      </c>
      <c r="B33" s="4" t="s">
        <v>77</v>
      </c>
      <c r="C33" t="s">
        <v>80</v>
      </c>
    </row>
    <row r="34" spans="1:3" x14ac:dyDescent="0.15">
      <c r="A34">
        <v>33</v>
      </c>
      <c r="B34" t="s">
        <v>53</v>
      </c>
      <c r="C34" s="7" t="s">
        <v>81</v>
      </c>
    </row>
    <row r="35" spans="1:3" x14ac:dyDescent="0.15">
      <c r="A35">
        <v>34</v>
      </c>
      <c r="B35" t="s">
        <v>54</v>
      </c>
      <c r="C35" s="7" t="s">
        <v>81</v>
      </c>
    </row>
    <row r="36" spans="1:3" x14ac:dyDescent="0.15">
      <c r="A36">
        <v>35</v>
      </c>
      <c r="B36" s="4" t="s">
        <v>79</v>
      </c>
      <c r="C36" t="s">
        <v>80</v>
      </c>
    </row>
  </sheetData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805D-81DB-432C-ACD8-C3C9A893785E}">
  <sheetPr codeName="Sheet1"/>
  <dimension ref="A1:O55"/>
  <sheetViews>
    <sheetView view="pageBreakPreview" topLeftCell="A33" zoomScaleNormal="100" zoomScaleSheetLayoutView="100" workbookViewId="0">
      <selection activeCell="P51" sqref="P51"/>
    </sheetView>
  </sheetViews>
  <sheetFormatPr defaultRowHeight="13.5" x14ac:dyDescent="0.15"/>
  <cols>
    <col min="1" max="1" width="9" style="15"/>
    <col min="2" max="3" width="12.625" style="15" customWidth="1"/>
    <col min="4" max="4" width="5.25" style="15" customWidth="1"/>
    <col min="5" max="5" width="10.5" style="15" customWidth="1"/>
    <col min="6" max="7" width="9" style="15"/>
    <col min="8" max="8" width="40.375" style="19" customWidth="1"/>
    <col min="9" max="10" width="6.75" style="15" hidden="1" customWidth="1"/>
    <col min="11" max="11" width="12.5" style="20" hidden="1" customWidth="1"/>
    <col min="12" max="12" width="12.5" style="21" hidden="1" customWidth="1"/>
    <col min="13" max="13" width="21.625" style="21" customWidth="1"/>
    <col min="14" max="14" width="2.5" style="14" customWidth="1"/>
    <col min="15" max="15" width="23.375" style="14" customWidth="1"/>
    <col min="16" max="16384" width="9" style="14"/>
  </cols>
  <sheetData>
    <row r="1" spans="1:15" ht="21" customHeight="1" x14ac:dyDescent="0.15">
      <c r="A1" s="8" t="s">
        <v>82</v>
      </c>
      <c r="B1" s="8" t="s">
        <v>83</v>
      </c>
      <c r="C1" s="8" t="s">
        <v>84</v>
      </c>
      <c r="D1" s="9" t="s">
        <v>85</v>
      </c>
      <c r="E1" s="9" t="s">
        <v>96</v>
      </c>
      <c r="F1" s="8" t="s">
        <v>86</v>
      </c>
      <c r="G1" s="8" t="s">
        <v>87</v>
      </c>
      <c r="H1" s="10" t="s">
        <v>88</v>
      </c>
      <c r="I1" s="8" t="s">
        <v>89</v>
      </c>
      <c r="J1" s="8" t="s">
        <v>90</v>
      </c>
      <c r="K1" s="11" t="s">
        <v>91</v>
      </c>
      <c r="L1" s="12" t="s">
        <v>92</v>
      </c>
      <c r="M1" s="13" t="s">
        <v>93</v>
      </c>
      <c r="O1" s="14">
        <v>1.1000000000000001</v>
      </c>
    </row>
    <row r="2" spans="1:15" ht="21.75" customHeight="1" x14ac:dyDescent="0.15">
      <c r="A2" s="8">
        <v>1</v>
      </c>
      <c r="B2" s="16">
        <v>46115</v>
      </c>
      <c r="C2" s="16">
        <v>46120</v>
      </c>
      <c r="D2" s="8">
        <v>4</v>
      </c>
      <c r="E2" s="22">
        <f>テーブル22[[#This Row],[終了日]]-テーブル22[[#This Row],[日程]]+1</f>
        <v>6</v>
      </c>
      <c r="F2" s="8" t="s">
        <v>81</v>
      </c>
      <c r="G2" s="31" t="s">
        <v>94</v>
      </c>
      <c r="H2" s="32" t="s">
        <v>35</v>
      </c>
      <c r="I2" s="8">
        <f>テーブル22[[#This Row],[終了日]]-テーブル22[[#This Row],[日程]]+1</f>
        <v>6</v>
      </c>
      <c r="J2" s="8">
        <v>10</v>
      </c>
      <c r="K2" s="17">
        <f>テーブル22[[#This Row],[税込み価格]]-テーブル22[[#This Row],[税抜き]]</f>
        <v>321002.00000000047</v>
      </c>
      <c r="L2" s="12">
        <f>テーブル22[[#This Row],[税込み価格]]/1.1</f>
        <v>3210019.9999999995</v>
      </c>
      <c r="M2" s="13">
        <v>3531022</v>
      </c>
      <c r="O2" s="14">
        <f>ROUNDDOWN((テーブル22[[#This Row],[税込み価格]]/O1),0)</f>
        <v>3210020</v>
      </c>
    </row>
    <row r="3" spans="1:15" ht="21.75" customHeight="1" x14ac:dyDescent="0.15">
      <c r="A3" s="8">
        <v>2</v>
      </c>
      <c r="B3" s="16">
        <v>46128</v>
      </c>
      <c r="C3" s="16">
        <v>46132</v>
      </c>
      <c r="D3" s="8">
        <v>4</v>
      </c>
      <c r="E3" s="22">
        <f>テーブル22[[#This Row],[終了日]]-テーブル22[[#This Row],[日程]]+1</f>
        <v>5</v>
      </c>
      <c r="F3" s="8" t="s">
        <v>80</v>
      </c>
      <c r="G3" s="31" t="s">
        <v>94</v>
      </c>
      <c r="H3" s="10" t="s">
        <v>57</v>
      </c>
      <c r="I3" s="8">
        <f>テーブル22[[#This Row],[終了日]]-テーブル22[[#This Row],[日程]]+1</f>
        <v>5</v>
      </c>
      <c r="J3" s="8">
        <v>5</v>
      </c>
      <c r="K3" s="17">
        <f>テーブル22[[#This Row],[税込み価格]]-テーブル22[[#This Row],[税抜き]]</f>
        <v>221924.90909090918</v>
      </c>
      <c r="L3" s="12">
        <f>テーブル22[[#This Row],[税込み価格]]/1.1</f>
        <v>2219249.0909090908</v>
      </c>
      <c r="M3" s="13">
        <v>2441174</v>
      </c>
    </row>
    <row r="4" spans="1:15" ht="21.75" customHeight="1" x14ac:dyDescent="0.15">
      <c r="A4" s="8">
        <v>2</v>
      </c>
      <c r="B4" s="16">
        <v>46128</v>
      </c>
      <c r="C4" s="16">
        <v>46132</v>
      </c>
      <c r="D4" s="8">
        <v>4</v>
      </c>
      <c r="E4" s="22"/>
      <c r="F4" s="8" t="s">
        <v>80</v>
      </c>
      <c r="G4" s="26" t="s">
        <v>165</v>
      </c>
      <c r="H4" s="10" t="s">
        <v>57</v>
      </c>
      <c r="I4" s="8"/>
      <c r="J4" s="8"/>
      <c r="K4" s="17">
        <f>テーブル22[[#This Row],[税込み価格]]-テーブル22[[#This Row],[税抜き]]</f>
        <v>33750</v>
      </c>
      <c r="L4" s="12">
        <f>テーブル22[[#This Row],[税込み価格]]/1.1</f>
        <v>337500</v>
      </c>
      <c r="M4" s="13">
        <v>371250</v>
      </c>
    </row>
    <row r="5" spans="1:15" ht="21.75" customHeight="1" x14ac:dyDescent="0.15">
      <c r="A5" s="8">
        <v>3</v>
      </c>
      <c r="B5" s="16">
        <v>46135</v>
      </c>
      <c r="C5" s="16">
        <v>46141</v>
      </c>
      <c r="D5" s="8">
        <v>4</v>
      </c>
      <c r="E5" s="22">
        <f>テーブル22[[#This Row],[終了日]]-テーブル22[[#This Row],[日程]]+1</f>
        <v>7</v>
      </c>
      <c r="F5" s="8" t="s">
        <v>81</v>
      </c>
      <c r="G5" s="31" t="s">
        <v>94</v>
      </c>
      <c r="H5" s="10" t="s">
        <v>36</v>
      </c>
      <c r="I5" s="8">
        <f>テーブル22[[#This Row],[終了日]]-テーブル22[[#This Row],[日程]]+1</f>
        <v>7</v>
      </c>
      <c r="J5" s="8">
        <v>5</v>
      </c>
      <c r="K5" s="17">
        <f>テーブル22[[#This Row],[税込み価格]]-テーブル22[[#This Row],[税抜き]]</f>
        <v>339559.00000000047</v>
      </c>
      <c r="L5" s="12">
        <f>テーブル22[[#This Row],[税込み価格]]/1.1</f>
        <v>3395589.9999999995</v>
      </c>
      <c r="M5" s="13">
        <v>3735149</v>
      </c>
    </row>
    <row r="6" spans="1:15" ht="21.75" customHeight="1" x14ac:dyDescent="0.15">
      <c r="A6" s="8">
        <v>4</v>
      </c>
      <c r="B6" s="16">
        <v>46145</v>
      </c>
      <c r="C6" s="16">
        <v>46150</v>
      </c>
      <c r="D6" s="8">
        <v>5</v>
      </c>
      <c r="E6" s="22">
        <f>テーブル22[[#This Row],[終了日]]-テーブル22[[#This Row],[日程]]+1</f>
        <v>6</v>
      </c>
      <c r="F6" s="8" t="s">
        <v>80</v>
      </c>
      <c r="G6" s="31" t="s">
        <v>94</v>
      </c>
      <c r="H6" s="32" t="s">
        <v>58</v>
      </c>
      <c r="I6" s="8">
        <f>テーブル22[[#This Row],[終了日]]-テーブル22[[#This Row],[日程]]+1</f>
        <v>6</v>
      </c>
      <c r="J6" s="8">
        <v>9</v>
      </c>
      <c r="K6" s="17">
        <f>テーブル22[[#This Row],[税込み価格]]-テーブル22[[#This Row],[税抜き]]</f>
        <v>272711.90909090918</v>
      </c>
      <c r="L6" s="12">
        <f>テーブル22[[#This Row],[税込み価格]]/1.1</f>
        <v>2727119.0909090908</v>
      </c>
      <c r="M6" s="13">
        <v>2999831</v>
      </c>
    </row>
    <row r="7" spans="1:15" ht="21.75" customHeight="1" x14ac:dyDescent="0.15">
      <c r="A7" s="8">
        <v>4</v>
      </c>
      <c r="B7" s="16">
        <v>46145</v>
      </c>
      <c r="C7" s="16">
        <v>46150</v>
      </c>
      <c r="D7" s="8">
        <v>5</v>
      </c>
      <c r="E7" s="22"/>
      <c r="F7" s="8" t="s">
        <v>80</v>
      </c>
      <c r="G7" s="26" t="s">
        <v>165</v>
      </c>
      <c r="H7" s="10" t="s">
        <v>58</v>
      </c>
      <c r="I7" s="8"/>
      <c r="J7" s="8"/>
      <c r="K7" s="17">
        <f>テーブル22[[#This Row],[税込み価格]]-テーブル22[[#This Row],[税抜き]]</f>
        <v>70200</v>
      </c>
      <c r="L7" s="12">
        <f>テーブル22[[#This Row],[税込み価格]]/1.1</f>
        <v>702000</v>
      </c>
      <c r="M7" s="13">
        <v>772200</v>
      </c>
    </row>
    <row r="8" spans="1:15" ht="21.75" customHeight="1" x14ac:dyDescent="0.15">
      <c r="A8" s="8">
        <v>5</v>
      </c>
      <c r="B8" s="16">
        <v>46153</v>
      </c>
      <c r="C8" s="16">
        <v>46156</v>
      </c>
      <c r="D8" s="8">
        <v>5</v>
      </c>
      <c r="E8" s="22">
        <f>テーブル22[[#This Row],[終了日]]-テーブル22[[#This Row],[日程]]+1</f>
        <v>4</v>
      </c>
      <c r="F8" s="8" t="s">
        <v>81</v>
      </c>
      <c r="G8" s="31" t="s">
        <v>94</v>
      </c>
      <c r="H8" s="10" t="s">
        <v>37</v>
      </c>
      <c r="I8" s="8">
        <f>テーブル22[[#This Row],[終了日]]-テーブル22[[#This Row],[日程]]+1</f>
        <v>4</v>
      </c>
      <c r="J8" s="8">
        <v>2</v>
      </c>
      <c r="K8" s="17">
        <f>テーブル22[[#This Row],[税込み価格]]-テーブル22[[#This Row],[税抜き]]</f>
        <v>199848.00000000023</v>
      </c>
      <c r="L8" s="12">
        <f>テーブル22[[#This Row],[税込み価格]]/1.1</f>
        <v>1998479.9999999998</v>
      </c>
      <c r="M8" s="13">
        <v>2198328</v>
      </c>
    </row>
    <row r="9" spans="1:15" ht="21.75" customHeight="1" x14ac:dyDescent="0.15">
      <c r="A9" s="8">
        <v>6</v>
      </c>
      <c r="B9" s="16">
        <v>46165</v>
      </c>
      <c r="C9" s="16">
        <v>46169</v>
      </c>
      <c r="D9" s="8">
        <v>5</v>
      </c>
      <c r="E9" s="22">
        <f>テーブル22[[#This Row],[終了日]]-テーブル22[[#This Row],[日程]]+1</f>
        <v>5</v>
      </c>
      <c r="F9" s="8" t="s">
        <v>81</v>
      </c>
      <c r="G9" s="31" t="s">
        <v>94</v>
      </c>
      <c r="H9" s="10" t="s">
        <v>38</v>
      </c>
      <c r="I9" s="8">
        <f>テーブル22[[#This Row],[終了日]]-テーブル22[[#This Row],[日程]]+1</f>
        <v>5</v>
      </c>
      <c r="J9" s="8">
        <v>10</v>
      </c>
      <c r="K9" s="17">
        <f>テーブル22[[#This Row],[税込み価格]]-テーブル22[[#This Row],[税抜き]]</f>
        <v>255585</v>
      </c>
      <c r="L9" s="13">
        <f>テーブル22[[#This Row],[税込み価格]]/1.1</f>
        <v>2555850</v>
      </c>
      <c r="M9" s="13">
        <v>2811435</v>
      </c>
    </row>
    <row r="10" spans="1:15" ht="21.75" customHeight="1" x14ac:dyDescent="0.15">
      <c r="A10" s="8">
        <v>7</v>
      </c>
      <c r="B10" s="16">
        <v>46172</v>
      </c>
      <c r="C10" s="16">
        <v>46176</v>
      </c>
      <c r="D10" s="8">
        <v>6</v>
      </c>
      <c r="E10" s="23">
        <f>テーブル22[[#This Row],[終了日]]-テーブル22[[#This Row],[日程]]+1</f>
        <v>5</v>
      </c>
      <c r="F10" s="8" t="s">
        <v>81</v>
      </c>
      <c r="G10" s="31" t="s">
        <v>94</v>
      </c>
      <c r="H10" s="10" t="s">
        <v>39</v>
      </c>
      <c r="I10" s="8">
        <f>テーブル22[[#This Row],[終了日]]-テーブル22[[#This Row],[日程]]+1</f>
        <v>5</v>
      </c>
      <c r="J10" s="8">
        <v>3</v>
      </c>
      <c r="K10" s="17">
        <f>テーブル22[[#This Row],[税込み価格]]-テーブル22[[#This Row],[税抜き]]</f>
        <v>255585</v>
      </c>
      <c r="L10" s="13">
        <f>テーブル22[[#This Row],[税込み価格]]/1.1</f>
        <v>2555850</v>
      </c>
      <c r="M10" s="13">
        <v>2811435</v>
      </c>
    </row>
    <row r="11" spans="1:15" ht="21.75" customHeight="1" x14ac:dyDescent="0.15">
      <c r="A11" s="8">
        <v>8</v>
      </c>
      <c r="B11" s="16">
        <v>46187</v>
      </c>
      <c r="C11" s="16">
        <v>46190</v>
      </c>
      <c r="D11" s="8">
        <v>6</v>
      </c>
      <c r="E11" s="22">
        <f>テーブル22[[#This Row],[終了日]]-テーブル22[[#This Row],[日程]]+1</f>
        <v>4</v>
      </c>
      <c r="F11" s="8" t="s">
        <v>80</v>
      </c>
      <c r="G11" s="31" t="s">
        <v>94</v>
      </c>
      <c r="H11" s="10" t="s">
        <v>59</v>
      </c>
      <c r="I11" s="8">
        <f>テーブル22[[#This Row],[終了日]]-テーブル22[[#This Row],[日程]]+1</f>
        <v>4</v>
      </c>
      <c r="J11" s="8">
        <v>5</v>
      </c>
      <c r="K11" s="17">
        <f>テーブル22[[#This Row],[税込み価格]]-テーブル22[[#This Row],[税抜き]]</f>
        <v>179937.90909090918</v>
      </c>
      <c r="L11" s="13">
        <f>テーブル22[[#This Row],[税込み価格]]/1.1</f>
        <v>1799379.0909090908</v>
      </c>
      <c r="M11" s="13">
        <v>1979317</v>
      </c>
    </row>
    <row r="12" spans="1:15" ht="21.75" customHeight="1" x14ac:dyDescent="0.15">
      <c r="A12" s="8">
        <v>8</v>
      </c>
      <c r="B12" s="16">
        <v>46187</v>
      </c>
      <c r="C12" s="16">
        <v>46190</v>
      </c>
      <c r="D12" s="8">
        <v>6</v>
      </c>
      <c r="E12" s="23"/>
      <c r="F12" s="8" t="s">
        <v>80</v>
      </c>
      <c r="G12" s="26" t="s">
        <v>165</v>
      </c>
      <c r="H12" s="10" t="s">
        <v>59</v>
      </c>
      <c r="I12" s="8"/>
      <c r="J12" s="8"/>
      <c r="K12" s="17">
        <f>テーブル22[[#This Row],[税込み価格]]-テーブル22[[#This Row],[税抜き]]</f>
        <v>33750</v>
      </c>
      <c r="L12" s="13">
        <f>テーブル22[[#This Row],[税込み価格]]/1.1</f>
        <v>337500</v>
      </c>
      <c r="M12" s="13">
        <v>371250</v>
      </c>
    </row>
    <row r="13" spans="1:15" ht="21.75" customHeight="1" x14ac:dyDescent="0.15">
      <c r="A13" s="8">
        <v>9</v>
      </c>
      <c r="B13" s="16">
        <v>46197</v>
      </c>
      <c r="C13" s="16">
        <v>46202</v>
      </c>
      <c r="D13" s="8">
        <v>6</v>
      </c>
      <c r="E13" s="23">
        <f>テーブル22[[#This Row],[終了日]]-テーブル22[[#This Row],[日程]]+1</f>
        <v>6</v>
      </c>
      <c r="F13" s="8" t="s">
        <v>81</v>
      </c>
      <c r="G13" s="31" t="s">
        <v>94</v>
      </c>
      <c r="H13" s="32" t="s">
        <v>40</v>
      </c>
      <c r="I13" s="8">
        <f>テーブル22[[#This Row],[終了日]]-テーブル22[[#This Row],[日程]]+1</f>
        <v>6</v>
      </c>
      <c r="J13" s="8">
        <v>9</v>
      </c>
      <c r="K13" s="17">
        <f>テーブル22[[#This Row],[税込み価格]]-テーブル22[[#This Row],[税抜き]]</f>
        <v>321002.00000000047</v>
      </c>
      <c r="L13" s="13">
        <f>テーブル22[[#This Row],[税込み価格]]/1.1</f>
        <v>3210019.9999999995</v>
      </c>
      <c r="M13" s="13">
        <v>3531022</v>
      </c>
    </row>
    <row r="14" spans="1:15" ht="21.75" customHeight="1" x14ac:dyDescent="0.15">
      <c r="A14" s="8">
        <v>10</v>
      </c>
      <c r="B14" s="16">
        <v>46206</v>
      </c>
      <c r="C14" s="16">
        <v>46211</v>
      </c>
      <c r="D14" s="8">
        <v>7</v>
      </c>
      <c r="E14" s="23">
        <f>テーブル22[[#This Row],[終了日]]-テーブル22[[#This Row],[日程]]+1</f>
        <v>6</v>
      </c>
      <c r="F14" s="8" t="s">
        <v>80</v>
      </c>
      <c r="G14" s="31" t="s">
        <v>94</v>
      </c>
      <c r="H14" s="10" t="s">
        <v>61</v>
      </c>
      <c r="I14" s="8">
        <f>テーブル22[[#This Row],[終了日]]-テーブル22[[#This Row],[日程]]+1</f>
        <v>6</v>
      </c>
      <c r="J14" s="8">
        <v>9</v>
      </c>
      <c r="K14" s="17">
        <f>テーブル22[[#This Row],[税込み価格]]-テーブル22[[#This Row],[税抜き]]</f>
        <v>263911.90909090918</v>
      </c>
      <c r="L14" s="13">
        <f>テーブル22[[#This Row],[税込み価格]]/1.1</f>
        <v>2639119.0909090908</v>
      </c>
      <c r="M14" s="13">
        <v>2903031</v>
      </c>
    </row>
    <row r="15" spans="1:15" ht="21.75" customHeight="1" x14ac:dyDescent="0.15">
      <c r="A15" s="8">
        <v>10</v>
      </c>
      <c r="B15" s="16">
        <v>46206</v>
      </c>
      <c r="C15" s="16">
        <v>46211</v>
      </c>
      <c r="D15" s="8">
        <v>7</v>
      </c>
      <c r="E15" s="23"/>
      <c r="F15" s="8" t="s">
        <v>80</v>
      </c>
      <c r="G15" s="26" t="s">
        <v>165</v>
      </c>
      <c r="H15" s="10" t="s">
        <v>61</v>
      </c>
      <c r="I15" s="8"/>
      <c r="J15" s="8"/>
      <c r="K15" s="17"/>
      <c r="L15" s="13"/>
      <c r="M15" s="13">
        <v>371250</v>
      </c>
    </row>
    <row r="16" spans="1:15" ht="21.75" customHeight="1" x14ac:dyDescent="0.15">
      <c r="A16" s="8">
        <v>11</v>
      </c>
      <c r="B16" s="16">
        <v>46218</v>
      </c>
      <c r="C16" s="16">
        <v>46224</v>
      </c>
      <c r="D16" s="8">
        <v>7</v>
      </c>
      <c r="E16" s="23">
        <f>テーブル22[[#This Row],[終了日]]-テーブル22[[#This Row],[日程]]+1</f>
        <v>7</v>
      </c>
      <c r="F16" s="8" t="s">
        <v>81</v>
      </c>
      <c r="G16" s="31" t="s">
        <v>94</v>
      </c>
      <c r="H16" s="10" t="s">
        <v>41</v>
      </c>
      <c r="I16" s="8">
        <f>テーブル22[[#This Row],[終了日]]-テーブル22[[#This Row],[日程]]+1</f>
        <v>7</v>
      </c>
      <c r="J16" s="8">
        <v>9</v>
      </c>
      <c r="K16" s="17">
        <f>テーブル22[[#This Row],[税込み価格]]-テーブル22[[#This Row],[税抜き]]</f>
        <v>339559.00000000047</v>
      </c>
      <c r="L16" s="13">
        <f>テーブル22[[#This Row],[税込み価格]]/1.1</f>
        <v>3395589.9999999995</v>
      </c>
      <c r="M16" s="13">
        <v>3735149</v>
      </c>
    </row>
    <row r="17" spans="1:15" ht="21.75" customHeight="1" x14ac:dyDescent="0.15">
      <c r="A17" s="8">
        <v>12</v>
      </c>
      <c r="B17" s="16">
        <v>46227</v>
      </c>
      <c r="C17" s="16">
        <v>46230</v>
      </c>
      <c r="D17" s="8">
        <v>7</v>
      </c>
      <c r="E17" s="23">
        <f>テーブル22[[#This Row],[終了日]]-テーブル22[[#This Row],[日程]]+1</f>
        <v>4</v>
      </c>
      <c r="F17" s="8" t="s">
        <v>81</v>
      </c>
      <c r="G17" s="31" t="s">
        <v>94</v>
      </c>
      <c r="H17" s="10" t="s">
        <v>42</v>
      </c>
      <c r="I17" s="8">
        <f>テーブル22[[#This Row],[終了日]]-テーブル22[[#This Row],[日程]]+1</f>
        <v>4</v>
      </c>
      <c r="J17" s="8">
        <v>1</v>
      </c>
      <c r="K17" s="17">
        <f>テーブル22[[#This Row],[税込み価格]]-テーブル22[[#This Row],[税抜き]]</f>
        <v>199848.00000000023</v>
      </c>
      <c r="L17" s="13">
        <f>テーブル22[[#This Row],[税込み価格]]/1.1</f>
        <v>1998479.9999999998</v>
      </c>
      <c r="M17" s="13">
        <v>2198328</v>
      </c>
    </row>
    <row r="18" spans="1:15" ht="21.75" customHeight="1" x14ac:dyDescent="0.15">
      <c r="A18" s="8">
        <v>13</v>
      </c>
      <c r="B18" s="16">
        <v>46238</v>
      </c>
      <c r="C18" s="16">
        <v>46243</v>
      </c>
      <c r="D18" s="8">
        <v>8</v>
      </c>
      <c r="E18" s="23">
        <f>テーブル22[[#This Row],[終了日]]-テーブル22[[#This Row],[日程]]+1</f>
        <v>6</v>
      </c>
      <c r="F18" s="8" t="s">
        <v>81</v>
      </c>
      <c r="G18" s="31" t="s">
        <v>94</v>
      </c>
      <c r="H18" s="10" t="s">
        <v>43</v>
      </c>
      <c r="I18" s="8">
        <f>テーブル22[[#This Row],[終了日]]-テーブル22[[#This Row],[日程]]+1</f>
        <v>6</v>
      </c>
      <c r="J18" s="8">
        <v>6</v>
      </c>
      <c r="K18" s="17">
        <f>テーブル22[[#This Row],[税込み価格]]-テーブル22[[#This Row],[税抜き]]</f>
        <v>297572.00000000047</v>
      </c>
      <c r="L18" s="13">
        <f>テーブル22[[#This Row],[税込み価格]]/1.1</f>
        <v>2975719.9999999995</v>
      </c>
      <c r="M18" s="13">
        <v>3273292</v>
      </c>
    </row>
    <row r="19" spans="1:15" ht="21.75" customHeight="1" x14ac:dyDescent="0.15">
      <c r="A19" s="8">
        <v>14</v>
      </c>
      <c r="B19" s="16">
        <v>46247</v>
      </c>
      <c r="C19" s="16">
        <v>46252</v>
      </c>
      <c r="D19" s="8">
        <v>8</v>
      </c>
      <c r="E19" s="23">
        <f>テーブル22[[#This Row],[終了日]]-テーブル22[[#This Row],[日程]]+1</f>
        <v>6</v>
      </c>
      <c r="F19" s="8" t="s">
        <v>80</v>
      </c>
      <c r="G19" s="31" t="s">
        <v>94</v>
      </c>
      <c r="H19" s="32" t="s">
        <v>63</v>
      </c>
      <c r="I19" s="8">
        <f>テーブル22[[#This Row],[終了日]]-テーブル22[[#This Row],[日程]]+1</f>
        <v>6</v>
      </c>
      <c r="J19" s="8">
        <v>3</v>
      </c>
      <c r="K19" s="17">
        <f>テーブル22[[#This Row],[税込み価格]]-テーブル22[[#This Row],[税抜き]]</f>
        <v>272711.90909090918</v>
      </c>
      <c r="L19" s="13">
        <f>テーブル22[[#This Row],[税込み価格]]/1.1</f>
        <v>2727119.0909090908</v>
      </c>
      <c r="M19" s="13">
        <v>2999831</v>
      </c>
    </row>
    <row r="20" spans="1:15" ht="21.75" customHeight="1" x14ac:dyDescent="0.15">
      <c r="A20" s="8">
        <v>14</v>
      </c>
      <c r="B20" s="16">
        <v>46247</v>
      </c>
      <c r="C20" s="16">
        <v>46252</v>
      </c>
      <c r="D20" s="8">
        <v>8</v>
      </c>
      <c r="E20" s="23"/>
      <c r="F20" s="8" t="s">
        <v>80</v>
      </c>
      <c r="G20" s="26" t="s">
        <v>165</v>
      </c>
      <c r="H20" s="10" t="s">
        <v>63</v>
      </c>
      <c r="I20" s="8"/>
      <c r="J20" s="8"/>
      <c r="K20" s="17"/>
      <c r="L20" s="13"/>
      <c r="M20" s="13">
        <v>772200</v>
      </c>
    </row>
    <row r="21" spans="1:15" ht="21.75" customHeight="1" x14ac:dyDescent="0.15">
      <c r="A21" s="8">
        <v>15</v>
      </c>
      <c r="B21" s="16">
        <v>46266</v>
      </c>
      <c r="C21" s="16">
        <v>46271</v>
      </c>
      <c r="D21" s="8">
        <v>9</v>
      </c>
      <c r="E21" s="23">
        <f>テーブル22[[#This Row],[終了日]]-テーブル22[[#This Row],[日程]]+1</f>
        <v>6</v>
      </c>
      <c r="F21" s="8" t="s">
        <v>81</v>
      </c>
      <c r="G21" s="31" t="s">
        <v>94</v>
      </c>
      <c r="H21" s="10" t="s">
        <v>44</v>
      </c>
      <c r="I21" s="8">
        <f>テーブル22[[#This Row],[終了日]]-テーブル22[[#This Row],[日程]]+1</f>
        <v>6</v>
      </c>
      <c r="J21" s="8">
        <v>10</v>
      </c>
      <c r="K21" s="17">
        <f>テーブル22[[#This Row],[税込み価格]]-テーブル22[[#This Row],[税抜き]]</f>
        <v>297572.00000000047</v>
      </c>
      <c r="L21" s="12">
        <f>テーブル22[[#This Row],[税込み価格]]/1.1</f>
        <v>2975719.9999999995</v>
      </c>
      <c r="M21" s="13">
        <v>3273292</v>
      </c>
    </row>
    <row r="22" spans="1:15" ht="21.75" customHeight="1" x14ac:dyDescent="0.15">
      <c r="A22" s="8">
        <v>16</v>
      </c>
      <c r="B22" s="16">
        <v>46276</v>
      </c>
      <c r="C22" s="16">
        <v>46281</v>
      </c>
      <c r="D22" s="8">
        <v>9</v>
      </c>
      <c r="E22" s="23">
        <f>テーブル22[[#This Row],[終了日]]-テーブル22[[#This Row],[日程]]+1</f>
        <v>6</v>
      </c>
      <c r="F22" s="8" t="s">
        <v>81</v>
      </c>
      <c r="G22" s="31" t="s">
        <v>94</v>
      </c>
      <c r="H22" s="10" t="s">
        <v>45</v>
      </c>
      <c r="I22" s="8">
        <f>テーブル22[[#This Row],[終了日]]-テーブル22[[#This Row],[日程]]+1</f>
        <v>6</v>
      </c>
      <c r="J22" s="8">
        <v>6</v>
      </c>
      <c r="K22" s="17">
        <f>テーブル22[[#This Row],[税込み価格]]-テーブル22[[#This Row],[税抜き]]</f>
        <v>297572.00000000047</v>
      </c>
      <c r="L22" s="12">
        <f>テーブル22[[#This Row],[税込み価格]]/1.1</f>
        <v>2975719.9999999995</v>
      </c>
      <c r="M22" s="13">
        <v>3273292</v>
      </c>
    </row>
    <row r="23" spans="1:15" ht="21.75" customHeight="1" x14ac:dyDescent="0.15">
      <c r="A23" s="8">
        <v>17</v>
      </c>
      <c r="B23" s="16">
        <v>46283</v>
      </c>
      <c r="C23" s="16">
        <v>46288</v>
      </c>
      <c r="D23" s="8">
        <v>9</v>
      </c>
      <c r="E23" s="23">
        <f>テーブル22[[#This Row],[終了日]]-テーブル22[[#This Row],[日程]]+1</f>
        <v>6</v>
      </c>
      <c r="F23" s="8" t="s">
        <v>80</v>
      </c>
      <c r="G23" s="31" t="s">
        <v>94</v>
      </c>
      <c r="H23" s="10" t="s">
        <v>65</v>
      </c>
      <c r="I23" s="8">
        <f>テーブル22[[#This Row],[終了日]]-テーブル22[[#This Row],[日程]]+1</f>
        <v>6</v>
      </c>
      <c r="J23" s="8">
        <v>2</v>
      </c>
      <c r="K23" s="17">
        <f>テーブル22[[#This Row],[税込み価格]]-テーブル22[[#This Row],[税抜き]]</f>
        <v>263911.90909090918</v>
      </c>
      <c r="L23" s="12">
        <f>テーブル22[[#This Row],[税込み価格]]/1.1</f>
        <v>2639119.0909090908</v>
      </c>
      <c r="M23" s="13">
        <v>2903031</v>
      </c>
    </row>
    <row r="24" spans="1:15" ht="21.75" customHeight="1" x14ac:dyDescent="0.15">
      <c r="A24" s="8">
        <v>17</v>
      </c>
      <c r="B24" s="16">
        <v>46283</v>
      </c>
      <c r="C24" s="16">
        <v>46288</v>
      </c>
      <c r="D24" s="8">
        <v>9</v>
      </c>
      <c r="E24" s="23"/>
      <c r="F24" s="8" t="s">
        <v>80</v>
      </c>
      <c r="G24" s="26" t="s">
        <v>165</v>
      </c>
      <c r="H24" s="10" t="s">
        <v>65</v>
      </c>
      <c r="I24" s="8"/>
      <c r="J24" s="8"/>
      <c r="K24" s="17"/>
      <c r="L24" s="12"/>
      <c r="M24" s="13">
        <v>371250</v>
      </c>
    </row>
    <row r="25" spans="1:15" ht="21.75" customHeight="1" x14ac:dyDescent="0.15">
      <c r="A25" s="8">
        <v>18</v>
      </c>
      <c r="B25" s="16">
        <v>46296</v>
      </c>
      <c r="C25" s="16">
        <v>46301</v>
      </c>
      <c r="D25" s="8">
        <v>10</v>
      </c>
      <c r="E25" s="23">
        <f>テーブル22[[#This Row],[終了日]]-テーブル22[[#This Row],[日程]]+1</f>
        <v>6</v>
      </c>
      <c r="F25" s="8" t="s">
        <v>81</v>
      </c>
      <c r="G25" s="31" t="s">
        <v>94</v>
      </c>
      <c r="H25" s="10" t="s">
        <v>46</v>
      </c>
      <c r="I25" s="8">
        <f>テーブル22[[#This Row],[終了日]]-テーブル22[[#This Row],[日程]]+1</f>
        <v>6</v>
      </c>
      <c r="J25" s="8">
        <v>11</v>
      </c>
      <c r="K25" s="17">
        <f>テーブル22[[#This Row],[税込み価格]]-テーブル22[[#This Row],[税抜き]]</f>
        <v>297572.00000000047</v>
      </c>
      <c r="L25" s="12">
        <f>テーブル22[[#This Row],[税込み価格]]/1.1</f>
        <v>2975719.9999999995</v>
      </c>
      <c r="M25" s="13">
        <v>3273292</v>
      </c>
    </row>
    <row r="26" spans="1:15" ht="21.75" customHeight="1" x14ac:dyDescent="0.15">
      <c r="A26" s="8">
        <v>19</v>
      </c>
      <c r="B26" s="16">
        <v>46305</v>
      </c>
      <c r="C26" s="16">
        <v>46310</v>
      </c>
      <c r="D26" s="8">
        <v>10</v>
      </c>
      <c r="E26" s="23">
        <f>テーブル22[[#This Row],[終了日]]-テーブル22[[#This Row],[日程]]+1</f>
        <v>6</v>
      </c>
      <c r="F26" s="8" t="s">
        <v>80</v>
      </c>
      <c r="G26" s="31" t="s">
        <v>94</v>
      </c>
      <c r="H26" s="10" t="s">
        <v>67</v>
      </c>
      <c r="I26" s="8">
        <f>テーブル22[[#This Row],[終了日]]-テーブル22[[#This Row],[日程]]+1</f>
        <v>6</v>
      </c>
      <c r="J26" s="8">
        <v>3</v>
      </c>
      <c r="K26" s="17">
        <f>テーブル22[[#This Row],[税込み価格]]-テーブル22[[#This Row],[税抜き]]</f>
        <v>263911.90909090918</v>
      </c>
      <c r="L26" s="12">
        <f>テーブル22[[#This Row],[税込み価格]]/1.1</f>
        <v>2639119.0909090908</v>
      </c>
      <c r="M26" s="13">
        <v>2903031</v>
      </c>
    </row>
    <row r="27" spans="1:15" ht="21.75" customHeight="1" x14ac:dyDescent="0.15">
      <c r="A27" s="8">
        <v>19</v>
      </c>
      <c r="B27" s="16">
        <v>46305</v>
      </c>
      <c r="C27" s="16">
        <v>46310</v>
      </c>
      <c r="D27" s="8">
        <v>10</v>
      </c>
      <c r="E27" s="23"/>
      <c r="F27" s="8" t="s">
        <v>80</v>
      </c>
      <c r="G27" s="26" t="s">
        <v>165</v>
      </c>
      <c r="H27" s="10" t="s">
        <v>67</v>
      </c>
      <c r="I27" s="8"/>
      <c r="J27" s="8"/>
      <c r="K27" s="17"/>
      <c r="L27" s="12"/>
      <c r="M27" s="13">
        <v>371250</v>
      </c>
      <c r="O27" s="33"/>
    </row>
    <row r="28" spans="1:15" ht="21.75" customHeight="1" x14ac:dyDescent="0.15">
      <c r="A28" s="8">
        <v>20</v>
      </c>
      <c r="B28" s="16">
        <v>46314</v>
      </c>
      <c r="C28" s="16">
        <v>46319</v>
      </c>
      <c r="D28" s="8">
        <v>10</v>
      </c>
      <c r="E28" s="23">
        <f>テーブル22[[#This Row],[終了日]]-テーブル22[[#This Row],[日程]]+1</f>
        <v>6</v>
      </c>
      <c r="F28" s="27" t="s">
        <v>80</v>
      </c>
      <c r="G28" s="31" t="s">
        <v>94</v>
      </c>
      <c r="H28" s="32" t="s">
        <v>68</v>
      </c>
      <c r="I28" s="8">
        <f>テーブル22[[#This Row],[終了日]]-テーブル22[[#This Row],[日程]]+1</f>
        <v>6</v>
      </c>
      <c r="J28" s="8">
        <v>10</v>
      </c>
      <c r="K28" s="17">
        <f>テーブル22[[#This Row],[税込み価格]]-テーブル22[[#This Row],[税抜き]]</f>
        <v>250931.90909090918</v>
      </c>
      <c r="L28" s="12">
        <f>テーブル22[[#This Row],[税込み価格]]/1.1</f>
        <v>2509319.0909090908</v>
      </c>
      <c r="M28" s="13">
        <v>2760251</v>
      </c>
    </row>
    <row r="29" spans="1:15" ht="21.75" customHeight="1" x14ac:dyDescent="0.15">
      <c r="A29" s="8">
        <v>20</v>
      </c>
      <c r="B29" s="16">
        <v>46314</v>
      </c>
      <c r="C29" s="16">
        <v>46319</v>
      </c>
      <c r="D29" s="8">
        <v>10</v>
      </c>
      <c r="E29" s="23"/>
      <c r="F29" s="8" t="s">
        <v>80</v>
      </c>
      <c r="G29" s="26" t="s">
        <v>165</v>
      </c>
      <c r="H29" s="10" t="s">
        <v>68</v>
      </c>
      <c r="I29" s="8"/>
      <c r="J29" s="8"/>
      <c r="K29" s="17"/>
      <c r="L29" s="12"/>
      <c r="M29" s="13">
        <v>772200</v>
      </c>
    </row>
    <row r="30" spans="1:15" ht="21.75" customHeight="1" x14ac:dyDescent="0.15">
      <c r="A30" s="8">
        <v>21</v>
      </c>
      <c r="B30" s="16">
        <v>46331</v>
      </c>
      <c r="C30" s="16">
        <v>46336</v>
      </c>
      <c r="D30" s="8">
        <v>11</v>
      </c>
      <c r="E30" s="23">
        <f>テーブル22[[#This Row],[終了日]]-テーブル22[[#This Row],[日程]]+1</f>
        <v>6</v>
      </c>
      <c r="F30" s="27" t="s">
        <v>80</v>
      </c>
      <c r="G30" s="31" t="s">
        <v>94</v>
      </c>
      <c r="H30" s="10" t="s">
        <v>69</v>
      </c>
      <c r="I30" s="8">
        <f>テーブル22[[#This Row],[終了日]]-テーブル22[[#This Row],[日程]]+1</f>
        <v>6</v>
      </c>
      <c r="J30" s="8">
        <v>6</v>
      </c>
      <c r="K30" s="17">
        <f>テーブル22[[#This Row],[税込み価格]]-テーブル22[[#This Row],[税抜き]]</f>
        <v>250931.90909090918</v>
      </c>
      <c r="L30" s="12">
        <f>テーブル22[[#This Row],[税込み価格]]/1.1</f>
        <v>2509319.0909090908</v>
      </c>
      <c r="M30" s="13">
        <v>2760251</v>
      </c>
    </row>
    <row r="31" spans="1:15" ht="21.75" customHeight="1" x14ac:dyDescent="0.15">
      <c r="A31" s="8">
        <v>21</v>
      </c>
      <c r="B31" s="16">
        <v>46331</v>
      </c>
      <c r="C31" s="16">
        <v>46336</v>
      </c>
      <c r="D31" s="8">
        <v>11</v>
      </c>
      <c r="E31" s="23"/>
      <c r="F31" s="8" t="s">
        <v>80</v>
      </c>
      <c r="G31" s="26" t="s">
        <v>165</v>
      </c>
      <c r="H31" s="10" t="s">
        <v>69</v>
      </c>
      <c r="I31" s="8"/>
      <c r="J31" s="8"/>
      <c r="K31" s="17"/>
      <c r="L31" s="12"/>
      <c r="M31" s="13">
        <v>772200</v>
      </c>
    </row>
    <row r="32" spans="1:15" ht="21.75" customHeight="1" x14ac:dyDescent="0.15">
      <c r="A32" s="8">
        <v>22</v>
      </c>
      <c r="B32" s="16">
        <v>46347</v>
      </c>
      <c r="C32" s="16">
        <v>46352</v>
      </c>
      <c r="D32" s="8">
        <v>11</v>
      </c>
      <c r="E32" s="23">
        <f>テーブル22[[#This Row],[終了日]]-テーブル22[[#This Row],[日程]]+1</f>
        <v>6</v>
      </c>
      <c r="F32" s="8" t="s">
        <v>81</v>
      </c>
      <c r="G32" s="31" t="s">
        <v>94</v>
      </c>
      <c r="H32" s="10" t="s">
        <v>47</v>
      </c>
      <c r="I32" s="8">
        <f>テーブル22[[#This Row],[終了日]]-テーブル22[[#This Row],[日程]]+1</f>
        <v>6</v>
      </c>
      <c r="J32" s="8">
        <v>3</v>
      </c>
      <c r="K32" s="17">
        <f>テーブル22[[#This Row],[税込み価格]]-テーブル22[[#This Row],[税抜き]]</f>
        <v>297572.00000000047</v>
      </c>
      <c r="L32" s="12">
        <f>テーブル22[[#This Row],[税込み価格]]/1.1</f>
        <v>2975719.9999999995</v>
      </c>
      <c r="M32" s="13">
        <v>3273292</v>
      </c>
    </row>
    <row r="33" spans="1:13" ht="21.75" customHeight="1" x14ac:dyDescent="0.15">
      <c r="A33" s="8">
        <v>23</v>
      </c>
      <c r="B33" s="16">
        <v>46357</v>
      </c>
      <c r="C33" s="16">
        <v>46361</v>
      </c>
      <c r="D33" s="8">
        <v>12</v>
      </c>
      <c r="E33" s="23">
        <f>テーブル22[[#This Row],[終了日]]-テーブル22[[#This Row],[日程]]+1</f>
        <v>5</v>
      </c>
      <c r="F33" s="8" t="s">
        <v>81</v>
      </c>
      <c r="G33" s="31" t="s">
        <v>94</v>
      </c>
      <c r="H33" s="10" t="s">
        <v>48</v>
      </c>
      <c r="I33" s="8">
        <f>テーブル22[[#This Row],[終了日]]-テーブル22[[#This Row],[日程]]+1</f>
        <v>5</v>
      </c>
      <c r="J33" s="8">
        <v>9</v>
      </c>
      <c r="K33" s="17">
        <f>テーブル22[[#This Row],[税込み価格]]-テーブル22[[#This Row],[税抜き]]</f>
        <v>255585</v>
      </c>
      <c r="L33" s="12">
        <f>テーブル22[[#This Row],[税込み価格]]/1.1</f>
        <v>2555850</v>
      </c>
      <c r="M33" s="13">
        <v>2811435</v>
      </c>
    </row>
    <row r="34" spans="1:13" ht="21.75" customHeight="1" x14ac:dyDescent="0.15">
      <c r="A34" s="8">
        <v>24</v>
      </c>
      <c r="B34" s="16">
        <v>46368</v>
      </c>
      <c r="C34" s="16">
        <v>46372</v>
      </c>
      <c r="D34" s="8">
        <v>12</v>
      </c>
      <c r="E34" s="23">
        <f>テーブル22[[#This Row],[終了日]]-テーブル22[[#This Row],[日程]]+1</f>
        <v>5</v>
      </c>
      <c r="F34" s="8" t="s">
        <v>80</v>
      </c>
      <c r="G34" s="31" t="s">
        <v>94</v>
      </c>
      <c r="H34" s="10" t="s">
        <v>70</v>
      </c>
      <c r="I34" s="8">
        <f>テーブル22[[#This Row],[終了日]]-テーブル22[[#This Row],[日程]]+1</f>
        <v>5</v>
      </c>
      <c r="J34" s="8">
        <v>3</v>
      </c>
      <c r="K34" s="17">
        <f>テーブル22[[#This Row],[税込み価格]]-テーブル22[[#This Row],[税抜き]]</f>
        <v>221924.90909090918</v>
      </c>
      <c r="L34" s="12">
        <f>テーブル22[[#This Row],[税込み価格]]/1.1</f>
        <v>2219249.0909090908</v>
      </c>
      <c r="M34" s="13">
        <v>2441174</v>
      </c>
    </row>
    <row r="35" spans="1:13" ht="21.75" customHeight="1" x14ac:dyDescent="0.15">
      <c r="A35" s="8">
        <v>24</v>
      </c>
      <c r="B35" s="16">
        <v>46368</v>
      </c>
      <c r="C35" s="16">
        <v>46372</v>
      </c>
      <c r="D35" s="8">
        <v>12</v>
      </c>
      <c r="E35" s="23"/>
      <c r="F35" s="8" t="s">
        <v>80</v>
      </c>
      <c r="G35" s="26" t="s">
        <v>165</v>
      </c>
      <c r="H35" s="10" t="s">
        <v>70</v>
      </c>
      <c r="I35" s="8"/>
      <c r="J35" s="8"/>
      <c r="K35" s="17"/>
      <c r="L35" s="12"/>
      <c r="M35" s="13">
        <v>371250</v>
      </c>
    </row>
    <row r="36" spans="1:13" ht="21.75" customHeight="1" x14ac:dyDescent="0.15">
      <c r="A36" s="8">
        <v>25</v>
      </c>
      <c r="B36" s="16">
        <v>46382</v>
      </c>
      <c r="C36" s="16">
        <v>46387</v>
      </c>
      <c r="D36" s="8">
        <v>12</v>
      </c>
      <c r="E36" s="23">
        <f>テーブル22[[#This Row],[終了日]]-テーブル22[[#This Row],[日程]]+1</f>
        <v>6</v>
      </c>
      <c r="F36" s="8" t="s">
        <v>81</v>
      </c>
      <c r="G36" s="31" t="s">
        <v>94</v>
      </c>
      <c r="H36" s="10" t="s">
        <v>49</v>
      </c>
      <c r="I36" s="8">
        <f>テーブル22[[#This Row],[終了日]]-テーブル22[[#This Row],[日程]]+1</f>
        <v>6</v>
      </c>
      <c r="J36" s="8">
        <v>1</v>
      </c>
      <c r="K36" s="17">
        <f>テーブル22[[#This Row],[税込み価格]]-テーブル22[[#This Row],[税抜き]]</f>
        <v>321002.00000000047</v>
      </c>
      <c r="L36" s="12">
        <f>テーブル22[[#This Row],[税込み価格]]/1.1</f>
        <v>3210019.9999999995</v>
      </c>
      <c r="M36" s="13">
        <v>3531022</v>
      </c>
    </row>
    <row r="37" spans="1:13" ht="21.75" customHeight="1" x14ac:dyDescent="0.15">
      <c r="A37" s="8">
        <v>26</v>
      </c>
      <c r="B37" s="24">
        <v>46389</v>
      </c>
      <c r="C37" s="16">
        <v>46394</v>
      </c>
      <c r="D37" s="8">
        <v>1</v>
      </c>
      <c r="E37" s="23">
        <f>テーブル22[[#This Row],[終了日]]-テーブル22[[#This Row],[日程]]+1</f>
        <v>6</v>
      </c>
      <c r="F37" s="8" t="s">
        <v>81</v>
      </c>
      <c r="G37" s="31" t="s">
        <v>94</v>
      </c>
      <c r="H37" s="10" t="s">
        <v>50</v>
      </c>
      <c r="I37" s="8">
        <f>テーブル22[[#This Row],[終了日]]-テーブル22[[#This Row],[日程]]+1</f>
        <v>6</v>
      </c>
      <c r="J37" s="8">
        <v>9</v>
      </c>
      <c r="K37" s="17">
        <f>テーブル22[[#This Row],[税込み価格]]-テーブル22[[#This Row],[税抜き]]</f>
        <v>328812.00000000047</v>
      </c>
      <c r="L37" s="12">
        <f>テーブル22[[#This Row],[税込み価格]]/1.1</f>
        <v>3288119.9999999995</v>
      </c>
      <c r="M37" s="13">
        <v>3616932</v>
      </c>
    </row>
    <row r="38" spans="1:13" ht="21.75" customHeight="1" x14ac:dyDescent="0.15">
      <c r="A38" s="8">
        <v>27</v>
      </c>
      <c r="B38" s="16">
        <v>46397</v>
      </c>
      <c r="C38" s="16">
        <v>46402</v>
      </c>
      <c r="D38" s="8">
        <v>1</v>
      </c>
      <c r="E38" s="23">
        <f>テーブル22[[#This Row],[終了日]]-テーブル22[[#This Row],[日程]]+1</f>
        <v>6</v>
      </c>
      <c r="F38" s="8" t="s">
        <v>80</v>
      </c>
      <c r="G38" s="31" t="s">
        <v>94</v>
      </c>
      <c r="H38" s="10" t="s">
        <v>71</v>
      </c>
      <c r="I38" s="8">
        <f>テーブル22[[#This Row],[終了日]]-テーブル22[[#This Row],[日程]]+1</f>
        <v>6</v>
      </c>
      <c r="J38" s="8">
        <v>5</v>
      </c>
      <c r="K38" s="17">
        <f>テーブル22[[#This Row],[税込み価格]]-テーブル22[[#This Row],[税抜き]]</f>
        <v>263911.90909090918</v>
      </c>
      <c r="L38" s="12">
        <f>テーブル22[[#This Row],[税込み価格]]/1.1</f>
        <v>2639119.0909090908</v>
      </c>
      <c r="M38" s="13">
        <v>2903031</v>
      </c>
    </row>
    <row r="39" spans="1:13" ht="21.75" customHeight="1" x14ac:dyDescent="0.15">
      <c r="A39" s="8">
        <v>27</v>
      </c>
      <c r="B39" s="16">
        <v>46397</v>
      </c>
      <c r="C39" s="16">
        <v>46402</v>
      </c>
      <c r="D39" s="8">
        <v>1</v>
      </c>
      <c r="E39" s="23"/>
      <c r="F39" s="8" t="s">
        <v>80</v>
      </c>
      <c r="G39" s="26" t="s">
        <v>165</v>
      </c>
      <c r="H39" s="10" t="s">
        <v>71</v>
      </c>
      <c r="I39" s="8"/>
      <c r="J39" s="8"/>
      <c r="K39" s="17"/>
      <c r="L39" s="12"/>
      <c r="M39" s="13">
        <v>371250</v>
      </c>
    </row>
    <row r="40" spans="1:13" ht="21.75" customHeight="1" x14ac:dyDescent="0.15">
      <c r="A40" s="8">
        <v>28</v>
      </c>
      <c r="B40" s="16">
        <v>46412</v>
      </c>
      <c r="C40" s="16">
        <v>46417</v>
      </c>
      <c r="D40" s="8">
        <v>1</v>
      </c>
      <c r="E40" s="23">
        <f>テーブル22[[#This Row],[終了日]]-テーブル22[[#This Row],[日程]]+1</f>
        <v>6</v>
      </c>
      <c r="F40" s="8" t="s">
        <v>80</v>
      </c>
      <c r="G40" s="31" t="s">
        <v>94</v>
      </c>
      <c r="H40" s="10" t="s">
        <v>72</v>
      </c>
      <c r="I40" s="8">
        <f>テーブル22[[#This Row],[終了日]]-テーブル22[[#This Row],[日程]]+1</f>
        <v>6</v>
      </c>
      <c r="J40" s="8">
        <v>9</v>
      </c>
      <c r="K40" s="17">
        <f>テーブル22[[#This Row],[税込み価格]]-テーブル22[[#This Row],[税抜き]]</f>
        <v>256651.90909090918</v>
      </c>
      <c r="L40" s="12">
        <f>テーブル22[[#This Row],[税込み価格]]/1.1</f>
        <v>2566519.0909090908</v>
      </c>
      <c r="M40" s="13">
        <v>2823171</v>
      </c>
    </row>
    <row r="41" spans="1:13" ht="21.75" customHeight="1" x14ac:dyDescent="0.15">
      <c r="A41" s="8">
        <v>28</v>
      </c>
      <c r="B41" s="16">
        <v>46412</v>
      </c>
      <c r="C41" s="16">
        <v>46417</v>
      </c>
      <c r="D41" s="8">
        <v>1</v>
      </c>
      <c r="E41" s="23"/>
      <c r="F41" s="8" t="s">
        <v>80</v>
      </c>
      <c r="G41" s="26" t="s">
        <v>165</v>
      </c>
      <c r="H41" s="10" t="s">
        <v>72</v>
      </c>
      <c r="I41" s="8"/>
      <c r="J41" s="8"/>
      <c r="K41" s="17"/>
      <c r="L41" s="12"/>
      <c r="M41" s="13">
        <v>371250</v>
      </c>
    </row>
    <row r="42" spans="1:13" ht="21.75" customHeight="1" x14ac:dyDescent="0.15">
      <c r="A42" s="8">
        <v>29</v>
      </c>
      <c r="B42" s="16">
        <v>46420</v>
      </c>
      <c r="C42" s="16">
        <v>46425</v>
      </c>
      <c r="D42" s="8">
        <v>2</v>
      </c>
      <c r="E42" s="23">
        <f>テーブル22[[#This Row],[終了日]]-テーブル22[[#This Row],[日程]]+1</f>
        <v>6</v>
      </c>
      <c r="F42" s="8" t="s">
        <v>81</v>
      </c>
      <c r="G42" s="31" t="s">
        <v>94</v>
      </c>
      <c r="H42" s="10" t="s">
        <v>51</v>
      </c>
      <c r="I42" s="8">
        <f>テーブル22[[#This Row],[終了日]]-テーブル22[[#This Row],[日程]]+1</f>
        <v>6</v>
      </c>
      <c r="J42" s="8">
        <v>7</v>
      </c>
      <c r="K42" s="17">
        <f>テーブル22[[#This Row],[税込み価格]]-テーブル22[[#This Row],[税抜き]]</f>
        <v>297572.00000000047</v>
      </c>
      <c r="L42" s="12">
        <f>テーブル22[[#This Row],[税込み価格]]/1.1</f>
        <v>2975719.9999999995</v>
      </c>
      <c r="M42" s="13">
        <v>3273292</v>
      </c>
    </row>
    <row r="43" spans="1:13" ht="21.75" customHeight="1" x14ac:dyDescent="0.15">
      <c r="A43" s="8">
        <v>30</v>
      </c>
      <c r="B43" s="16">
        <v>46428</v>
      </c>
      <c r="C43" s="16">
        <v>46433</v>
      </c>
      <c r="D43" s="8">
        <v>2</v>
      </c>
      <c r="E43" s="23">
        <f>テーブル22[[#This Row],[終了日]]-テーブル22[[#This Row],[日程]]+1</f>
        <v>6</v>
      </c>
      <c r="F43" s="8" t="s">
        <v>81</v>
      </c>
      <c r="G43" s="31" t="s">
        <v>94</v>
      </c>
      <c r="H43" s="10" t="s">
        <v>52</v>
      </c>
      <c r="I43" s="8">
        <f>テーブル22[[#This Row],[終了日]]-テーブル22[[#This Row],[日程]]+1</f>
        <v>6</v>
      </c>
      <c r="J43" s="8">
        <v>3</v>
      </c>
      <c r="K43" s="17">
        <f>テーブル22[[#This Row],[税込み価格]]-テーブル22[[#This Row],[税抜き]]</f>
        <v>297572.00000000047</v>
      </c>
      <c r="L43" s="12">
        <f>テーブル22[[#This Row],[税込み価格]]/1.1</f>
        <v>2975719.9999999995</v>
      </c>
      <c r="M43" s="13">
        <v>3273292</v>
      </c>
    </row>
    <row r="44" spans="1:13" ht="21.75" customHeight="1" x14ac:dyDescent="0.15">
      <c r="A44" s="8">
        <v>31</v>
      </c>
      <c r="B44" s="16">
        <v>46438</v>
      </c>
      <c r="C44" s="16">
        <v>46441</v>
      </c>
      <c r="D44" s="8">
        <v>2</v>
      </c>
      <c r="E44" s="23">
        <f>テーブル22[[#This Row],[終了日]]-テーブル22[[#This Row],[日程]]+1</f>
        <v>4</v>
      </c>
      <c r="F44" s="8" t="s">
        <v>80</v>
      </c>
      <c r="G44" s="31" t="s">
        <v>94</v>
      </c>
      <c r="H44" s="10" t="s">
        <v>74</v>
      </c>
      <c r="I44" s="8">
        <f>テーブル22[[#This Row],[終了日]]-テーブル22[[#This Row],[日程]]+1</f>
        <v>4</v>
      </c>
      <c r="J44" s="8">
        <v>9</v>
      </c>
      <c r="K44" s="17">
        <f>テーブル22[[#This Row],[税込み価格]]-テーブル22[[#This Row],[税抜き]]</f>
        <v>179937.90909090918</v>
      </c>
      <c r="L44" s="12">
        <f>テーブル22[[#This Row],[税込み価格]]/1.1</f>
        <v>1799379.0909090908</v>
      </c>
      <c r="M44" s="13">
        <v>1979317</v>
      </c>
    </row>
    <row r="45" spans="1:13" ht="21.75" customHeight="1" x14ac:dyDescent="0.15">
      <c r="A45" s="8">
        <v>31</v>
      </c>
      <c r="B45" s="16">
        <v>46438</v>
      </c>
      <c r="C45" s="16">
        <v>46441</v>
      </c>
      <c r="D45" s="8">
        <v>2</v>
      </c>
      <c r="E45" s="23"/>
      <c r="F45" s="8" t="s">
        <v>80</v>
      </c>
      <c r="G45" s="26" t="s">
        <v>165</v>
      </c>
      <c r="H45" s="10" t="s">
        <v>74</v>
      </c>
      <c r="I45" s="8"/>
      <c r="J45" s="8"/>
      <c r="K45" s="17"/>
      <c r="L45" s="12"/>
      <c r="M45" s="13">
        <v>371250</v>
      </c>
    </row>
    <row r="46" spans="1:13" ht="21.75" customHeight="1" x14ac:dyDescent="0.15">
      <c r="A46" s="8">
        <v>32</v>
      </c>
      <c r="B46" s="16">
        <v>46444</v>
      </c>
      <c r="C46" s="16">
        <v>46449</v>
      </c>
      <c r="D46" s="8">
        <v>3</v>
      </c>
      <c r="E46" s="23">
        <f>テーブル22[[#This Row],[終了日]]-テーブル22[[#This Row],[日程]]+1</f>
        <v>6</v>
      </c>
      <c r="F46" s="8" t="s">
        <v>80</v>
      </c>
      <c r="G46" s="31" t="s">
        <v>94</v>
      </c>
      <c r="H46" s="10" t="s">
        <v>76</v>
      </c>
      <c r="I46" s="8">
        <f>テーブル22[[#This Row],[終了日]]-テーブル22[[#This Row],[日程]]+1</f>
        <v>6</v>
      </c>
      <c r="J46" s="8">
        <v>5</v>
      </c>
      <c r="K46" s="17">
        <f>テーブル22[[#This Row],[税込み価格]]-テーブル22[[#This Row],[税抜き]]</f>
        <v>263911.90909090918</v>
      </c>
      <c r="L46" s="12">
        <f>テーブル22[[#This Row],[税込み価格]]/1.1</f>
        <v>2639119.0909090908</v>
      </c>
      <c r="M46" s="13">
        <v>2903031</v>
      </c>
    </row>
    <row r="47" spans="1:13" ht="21.75" customHeight="1" x14ac:dyDescent="0.15">
      <c r="A47" s="8">
        <v>32</v>
      </c>
      <c r="B47" s="16">
        <v>46444</v>
      </c>
      <c r="C47" s="16">
        <v>46449</v>
      </c>
      <c r="D47" s="8">
        <v>3</v>
      </c>
      <c r="E47" s="23"/>
      <c r="F47" s="8" t="s">
        <v>80</v>
      </c>
      <c r="G47" s="26" t="s">
        <v>165</v>
      </c>
      <c r="H47" s="10" t="s">
        <v>76</v>
      </c>
      <c r="I47" s="8"/>
      <c r="J47" s="8"/>
      <c r="K47" s="17"/>
      <c r="L47" s="12"/>
      <c r="M47" s="13">
        <v>371250</v>
      </c>
    </row>
    <row r="48" spans="1:13" ht="21.75" customHeight="1" x14ac:dyDescent="0.15">
      <c r="A48" s="8">
        <v>33</v>
      </c>
      <c r="B48" s="16">
        <v>46452</v>
      </c>
      <c r="C48" s="16">
        <v>46457</v>
      </c>
      <c r="D48" s="8">
        <v>3</v>
      </c>
      <c r="E48" s="23">
        <f>テーブル22[[#This Row],[終了日]]-テーブル22[[#This Row],[日程]]+1</f>
        <v>6</v>
      </c>
      <c r="F48" s="8" t="s">
        <v>81</v>
      </c>
      <c r="G48" s="31" t="s">
        <v>94</v>
      </c>
      <c r="H48" s="10" t="s">
        <v>53</v>
      </c>
      <c r="I48" s="8">
        <f>テーブル22[[#This Row],[終了日]]-テーブル22[[#This Row],[日程]]+1</f>
        <v>6</v>
      </c>
      <c r="J48" s="8">
        <v>8</v>
      </c>
      <c r="K48" s="17">
        <f>テーブル22[[#This Row],[税込み価格]]-テーブル22[[#This Row],[税抜き]]</f>
        <v>297572.00000000047</v>
      </c>
      <c r="L48" s="13">
        <f>テーブル22[[#This Row],[税込み価格]]/1.1</f>
        <v>2975719.9999999995</v>
      </c>
      <c r="M48" s="13">
        <v>3273292</v>
      </c>
    </row>
    <row r="49" spans="1:13" ht="21.75" customHeight="1" x14ac:dyDescent="0.15">
      <c r="A49" s="8">
        <v>34</v>
      </c>
      <c r="B49" s="16">
        <v>46464</v>
      </c>
      <c r="C49" s="16">
        <v>46468</v>
      </c>
      <c r="D49" s="8">
        <v>3</v>
      </c>
      <c r="E49" s="23">
        <f>テーブル22[[#This Row],[終了日]]-テーブル22[[#This Row],[日程]]+1</f>
        <v>5</v>
      </c>
      <c r="F49" s="8" t="s">
        <v>81</v>
      </c>
      <c r="G49" s="31" t="s">
        <v>94</v>
      </c>
      <c r="H49" s="10" t="s">
        <v>54</v>
      </c>
      <c r="I49" s="8">
        <f>テーブル22[[#This Row],[終了日]]-テーブル22[[#This Row],[日程]]+1</f>
        <v>5</v>
      </c>
      <c r="J49" s="8">
        <v>3</v>
      </c>
      <c r="K49" s="17">
        <f>テーブル22[[#This Row],[税込み価格]]-テーブル22[[#This Row],[税抜き]]</f>
        <v>255585</v>
      </c>
      <c r="L49" s="12">
        <f>テーブル22[[#This Row],[税込み価格]]/1.1</f>
        <v>2555850</v>
      </c>
      <c r="M49" s="13">
        <v>2811435</v>
      </c>
    </row>
    <row r="50" spans="1:13" ht="21.75" customHeight="1" x14ac:dyDescent="0.15">
      <c r="A50" s="8">
        <v>35</v>
      </c>
      <c r="B50" s="16">
        <v>46470</v>
      </c>
      <c r="C50" s="16">
        <v>46475</v>
      </c>
      <c r="D50" s="8">
        <v>3</v>
      </c>
      <c r="E50" s="23">
        <f>テーブル22[[#This Row],[終了日]]-テーブル22[[#This Row],[日程]]+1</f>
        <v>6</v>
      </c>
      <c r="F50" s="8" t="s">
        <v>80</v>
      </c>
      <c r="G50" s="31" t="s">
        <v>94</v>
      </c>
      <c r="H50" s="10" t="s">
        <v>78</v>
      </c>
      <c r="I50" s="8">
        <f>テーブル22[[#This Row],[終了日]]-テーブル22[[#This Row],[日程]]+1</f>
        <v>6</v>
      </c>
      <c r="J50" s="8">
        <v>10</v>
      </c>
      <c r="K50" s="17">
        <f>テーブル22[[#This Row],[税込み価格]]-テーブル22[[#This Row],[税抜き]]</f>
        <v>242132</v>
      </c>
      <c r="L50" s="12">
        <f>テーブル22[[#This Row],[税込み価格]]/1.1</f>
        <v>2421320</v>
      </c>
      <c r="M50" s="13">
        <v>2663452</v>
      </c>
    </row>
    <row r="51" spans="1:13" ht="21.75" customHeight="1" x14ac:dyDescent="0.15">
      <c r="A51" s="8"/>
      <c r="B51" s="16">
        <v>46470</v>
      </c>
      <c r="C51" s="16">
        <v>46475</v>
      </c>
      <c r="D51" s="8">
        <v>3</v>
      </c>
      <c r="E51" s="23"/>
      <c r="F51" s="8" t="s">
        <v>80</v>
      </c>
      <c r="G51" s="26" t="s">
        <v>165</v>
      </c>
      <c r="H51" s="10" t="s">
        <v>78</v>
      </c>
      <c r="I51" s="8"/>
      <c r="J51" s="8"/>
      <c r="K51" s="17"/>
      <c r="L51" s="12"/>
      <c r="M51" s="13">
        <v>371250</v>
      </c>
    </row>
    <row r="52" spans="1:13" ht="21.75" customHeight="1" x14ac:dyDescent="0.15">
      <c r="A52" s="8"/>
      <c r="B52" s="18"/>
      <c r="C52" s="18"/>
      <c r="D52" s="18"/>
      <c r="E52" s="8"/>
      <c r="F52" s="8"/>
      <c r="G52" s="8"/>
      <c r="H52" s="10"/>
      <c r="I52" s="8"/>
      <c r="J52" s="8"/>
      <c r="K52" s="17"/>
      <c r="L52" s="12"/>
      <c r="M52" s="13"/>
    </row>
    <row r="53" spans="1:13" ht="21.75" customHeight="1" x14ac:dyDescent="0.15">
      <c r="A53" s="8"/>
      <c r="B53" s="18"/>
      <c r="C53" s="18"/>
      <c r="D53" s="18"/>
      <c r="E53" s="22">
        <f>SUM(E2:E50)</f>
        <v>198</v>
      </c>
      <c r="F53" s="8"/>
      <c r="G53" s="8"/>
      <c r="H53" s="10"/>
      <c r="I53" s="8"/>
      <c r="J53" s="8"/>
      <c r="K53" s="17"/>
      <c r="L53" s="12"/>
      <c r="M53" s="13"/>
    </row>
    <row r="54" spans="1:13" x14ac:dyDescent="0.15">
      <c r="A54" s="8"/>
      <c r="B54" s="18"/>
      <c r="C54" s="18"/>
      <c r="D54" s="18"/>
      <c r="E54" s="8"/>
      <c r="F54" s="8"/>
      <c r="G54" s="8"/>
      <c r="H54" s="10"/>
      <c r="I54" s="8"/>
      <c r="J54" s="8"/>
      <c r="K54" s="17"/>
      <c r="L54" s="12"/>
      <c r="M54" s="13"/>
    </row>
    <row r="55" spans="1:13" ht="24" customHeight="1" x14ac:dyDescent="0.15">
      <c r="A55" s="28"/>
      <c r="B55" s="28"/>
      <c r="C55" s="28"/>
      <c r="D55" s="28"/>
      <c r="E55" s="28"/>
      <c r="F55" s="28"/>
      <c r="G55" s="28"/>
      <c r="H55" s="29"/>
      <c r="I55" s="28">
        <f>SUBTOTAL(109,テーブル22[日数])</f>
        <v>198</v>
      </c>
      <c r="J55" s="28"/>
      <c r="K55" s="30"/>
      <c r="L55" s="30"/>
      <c r="M55" s="30">
        <f>SUBTOTAL(109,テーブル22[税込み価格])</f>
        <v>111044502</v>
      </c>
    </row>
  </sheetData>
  <phoneticPr fontId="8"/>
  <conditionalFormatting sqref="F1:F1048576">
    <cfRule type="cellIs" dxfId="4" priority="4" operator="equal">
      <formula>"箕面"</formula>
    </cfRule>
    <cfRule type="cellIs" dxfId="3" priority="5" operator="equal">
      <formula>"都市"</formula>
    </cfRule>
  </conditionalFormatting>
  <conditionalFormatting sqref="G2:G51">
    <cfRule type="cellIs" dxfId="2" priority="1" operator="equal">
      <formula>"臨時"</formula>
    </cfRule>
    <cfRule type="cellIs" dxfId="1" priority="2" operator="equal">
      <formula>"ゼミナール"</formula>
    </cfRule>
    <cfRule type="cellIs" dxfId="0" priority="3" operator="equal">
      <formula>"アクア"</formula>
    </cfRule>
  </conditionalFormatting>
  <dataValidations count="1">
    <dataValidation type="list" allowBlank="1" showInputMessage="1" showErrorMessage="1" sqref="N1:N55" xr:uid="{A102BE65-9D9F-4351-BAE6-BF8642954448}">
      <formula1>"☑"</formula1>
    </dataValidation>
  </dataValidations>
  <pageMargins left="0.7" right="0.7" top="0.75" bottom="0.75" header="0.3" footer="0.3"/>
  <pageSetup paperSize="9" scale="66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0C46-4CE4-4FEA-8A92-09B15C61F114}">
  <dimension ref="A1:D35"/>
  <sheetViews>
    <sheetView workbookViewId="0">
      <selection activeCell="A37" sqref="A37"/>
    </sheetView>
  </sheetViews>
  <sheetFormatPr defaultRowHeight="13.5" x14ac:dyDescent="0.15"/>
  <cols>
    <col min="1" max="1" width="9" style="14"/>
    <col min="2" max="2" width="53" style="14" customWidth="1"/>
    <col min="3" max="6" width="9" style="14"/>
    <col min="7" max="7" width="14.375" style="14" customWidth="1"/>
    <col min="8" max="16384" width="9" style="14"/>
  </cols>
  <sheetData>
    <row r="1" spans="1:4" x14ac:dyDescent="0.15">
      <c r="A1" s="25" t="s">
        <v>132</v>
      </c>
      <c r="B1" s="14" t="s">
        <v>35</v>
      </c>
      <c r="C1" s="14" t="s">
        <v>95</v>
      </c>
      <c r="D1" t="s">
        <v>97</v>
      </c>
    </row>
    <row r="2" spans="1:4" x14ac:dyDescent="0.15">
      <c r="A2" s="25" t="s">
        <v>133</v>
      </c>
      <c r="B2" s="14" t="s">
        <v>57</v>
      </c>
      <c r="C2" s="14" t="s">
        <v>95</v>
      </c>
      <c r="D2" t="s">
        <v>98</v>
      </c>
    </row>
    <row r="3" spans="1:4" x14ac:dyDescent="0.15">
      <c r="A3" s="25" t="s">
        <v>134</v>
      </c>
      <c r="B3" s="14" t="s">
        <v>36</v>
      </c>
      <c r="C3" s="14" t="s">
        <v>95</v>
      </c>
      <c r="D3" t="s">
        <v>99</v>
      </c>
    </row>
    <row r="4" spans="1:4" x14ac:dyDescent="0.15">
      <c r="A4" s="25" t="s">
        <v>135</v>
      </c>
      <c r="B4" s="14" t="s">
        <v>58</v>
      </c>
      <c r="C4" s="14" t="s">
        <v>95</v>
      </c>
      <c r="D4" t="s">
        <v>100</v>
      </c>
    </row>
    <row r="5" spans="1:4" x14ac:dyDescent="0.15">
      <c r="A5" s="25" t="s">
        <v>136</v>
      </c>
      <c r="B5" s="14" t="s">
        <v>37</v>
      </c>
      <c r="C5" s="14" t="s">
        <v>95</v>
      </c>
      <c r="D5" t="s">
        <v>101</v>
      </c>
    </row>
    <row r="6" spans="1:4" x14ac:dyDescent="0.15">
      <c r="A6" s="25" t="s">
        <v>137</v>
      </c>
      <c r="B6" s="14" t="s">
        <v>38</v>
      </c>
      <c r="C6" s="14" t="s">
        <v>95</v>
      </c>
      <c r="D6" t="s">
        <v>102</v>
      </c>
    </row>
    <row r="7" spans="1:4" x14ac:dyDescent="0.15">
      <c r="A7" s="25" t="s">
        <v>138</v>
      </c>
      <c r="B7" s="14" t="s">
        <v>39</v>
      </c>
      <c r="C7" s="14" t="s">
        <v>95</v>
      </c>
      <c r="D7" t="s">
        <v>103</v>
      </c>
    </row>
    <row r="8" spans="1:4" x14ac:dyDescent="0.15">
      <c r="A8" s="25" t="s">
        <v>139</v>
      </c>
      <c r="B8" s="14" t="s">
        <v>59</v>
      </c>
      <c r="C8" s="14" t="s">
        <v>95</v>
      </c>
      <c r="D8" t="s">
        <v>104</v>
      </c>
    </row>
    <row r="9" spans="1:4" x14ac:dyDescent="0.15">
      <c r="A9" s="25" t="s">
        <v>137</v>
      </c>
      <c r="B9" s="14" t="s">
        <v>40</v>
      </c>
      <c r="C9" s="14" t="s">
        <v>95</v>
      </c>
      <c r="D9" t="s">
        <v>105</v>
      </c>
    </row>
    <row r="10" spans="1:4" x14ac:dyDescent="0.15">
      <c r="A10" s="25" t="s">
        <v>140</v>
      </c>
      <c r="B10" s="14" t="s">
        <v>61</v>
      </c>
      <c r="C10" s="14" t="s">
        <v>95</v>
      </c>
      <c r="D10" t="s">
        <v>106</v>
      </c>
    </row>
    <row r="11" spans="1:4" x14ac:dyDescent="0.15">
      <c r="A11" s="25" t="s">
        <v>141</v>
      </c>
      <c r="B11" s="14" t="s">
        <v>41</v>
      </c>
      <c r="C11" s="14" t="s">
        <v>95</v>
      </c>
      <c r="D11" t="s">
        <v>107</v>
      </c>
    </row>
    <row r="12" spans="1:4" x14ac:dyDescent="0.15">
      <c r="A12" s="25" t="s">
        <v>142</v>
      </c>
      <c r="B12" s="14" t="s">
        <v>42</v>
      </c>
      <c r="C12" s="14" t="s">
        <v>95</v>
      </c>
      <c r="D12" t="s">
        <v>108</v>
      </c>
    </row>
    <row r="13" spans="1:4" x14ac:dyDescent="0.15">
      <c r="A13" s="25" t="s">
        <v>143</v>
      </c>
      <c r="B13" s="25" t="s">
        <v>149</v>
      </c>
      <c r="C13" s="14" t="s">
        <v>95</v>
      </c>
      <c r="D13" t="s">
        <v>109</v>
      </c>
    </row>
    <row r="14" spans="1:4" x14ac:dyDescent="0.15">
      <c r="A14" s="25" t="s">
        <v>144</v>
      </c>
      <c r="B14" s="14" t="s">
        <v>63</v>
      </c>
      <c r="C14" s="14" t="s">
        <v>95</v>
      </c>
      <c r="D14" t="s">
        <v>110</v>
      </c>
    </row>
    <row r="15" spans="1:4" x14ac:dyDescent="0.15">
      <c r="A15" s="25" t="s">
        <v>145</v>
      </c>
      <c r="B15" s="14" t="s">
        <v>44</v>
      </c>
      <c r="C15" s="14" t="s">
        <v>95</v>
      </c>
      <c r="D15" t="s">
        <v>111</v>
      </c>
    </row>
    <row r="16" spans="1:4" x14ac:dyDescent="0.15">
      <c r="A16" s="25" t="s">
        <v>146</v>
      </c>
      <c r="B16" s="14" t="s">
        <v>45</v>
      </c>
      <c r="C16" s="14" t="s">
        <v>95</v>
      </c>
      <c r="D16" t="s">
        <v>112</v>
      </c>
    </row>
    <row r="17" spans="1:4" x14ac:dyDescent="0.15">
      <c r="A17" s="25" t="s">
        <v>147</v>
      </c>
      <c r="B17" s="14" t="s">
        <v>65</v>
      </c>
      <c r="C17" s="14" t="s">
        <v>95</v>
      </c>
      <c r="D17" t="s">
        <v>113</v>
      </c>
    </row>
    <row r="18" spans="1:4" x14ac:dyDescent="0.15">
      <c r="A18" s="25" t="s">
        <v>148</v>
      </c>
      <c r="B18" s="14" t="s">
        <v>46</v>
      </c>
      <c r="C18" s="14" t="s">
        <v>95</v>
      </c>
      <c r="D18" t="s">
        <v>114</v>
      </c>
    </row>
    <row r="19" spans="1:4" x14ac:dyDescent="0.15">
      <c r="A19" s="25" t="s">
        <v>143</v>
      </c>
      <c r="B19" s="25" t="s">
        <v>150</v>
      </c>
      <c r="C19" s="14" t="s">
        <v>95</v>
      </c>
      <c r="D19" t="s">
        <v>115</v>
      </c>
    </row>
    <row r="20" spans="1:4" x14ac:dyDescent="0.15">
      <c r="A20" s="25" t="s">
        <v>151</v>
      </c>
      <c r="B20" s="14" t="s">
        <v>68</v>
      </c>
      <c r="C20" s="14" t="s">
        <v>95</v>
      </c>
      <c r="D20" t="s">
        <v>116</v>
      </c>
    </row>
    <row r="21" spans="1:4" x14ac:dyDescent="0.15">
      <c r="A21" s="25" t="s">
        <v>152</v>
      </c>
      <c r="B21" s="14" t="s">
        <v>69</v>
      </c>
      <c r="C21" s="14" t="s">
        <v>95</v>
      </c>
      <c r="D21" t="s">
        <v>117</v>
      </c>
    </row>
    <row r="22" spans="1:4" x14ac:dyDescent="0.15">
      <c r="A22" s="25" t="s">
        <v>153</v>
      </c>
      <c r="B22" s="14" t="s">
        <v>47</v>
      </c>
      <c r="C22" s="14" t="s">
        <v>95</v>
      </c>
      <c r="D22" t="s">
        <v>118</v>
      </c>
    </row>
    <row r="23" spans="1:4" x14ac:dyDescent="0.15">
      <c r="A23" s="25" t="s">
        <v>154</v>
      </c>
      <c r="B23" s="14" t="s">
        <v>48</v>
      </c>
      <c r="C23" s="14" t="s">
        <v>95</v>
      </c>
      <c r="D23" t="s">
        <v>119</v>
      </c>
    </row>
    <row r="24" spans="1:4" x14ac:dyDescent="0.15">
      <c r="A24" s="25" t="s">
        <v>155</v>
      </c>
      <c r="B24" s="14" t="s">
        <v>70</v>
      </c>
      <c r="C24" s="14" t="s">
        <v>95</v>
      </c>
      <c r="D24" t="s">
        <v>120</v>
      </c>
    </row>
    <row r="25" spans="1:4" x14ac:dyDescent="0.15">
      <c r="A25" s="25" t="s">
        <v>156</v>
      </c>
      <c r="B25" s="14" t="s">
        <v>49</v>
      </c>
      <c r="C25" s="14" t="s">
        <v>95</v>
      </c>
      <c r="D25" t="s">
        <v>121</v>
      </c>
    </row>
    <row r="26" spans="1:4" x14ac:dyDescent="0.15">
      <c r="A26" s="25" t="s">
        <v>133</v>
      </c>
      <c r="B26" s="14" t="s">
        <v>50</v>
      </c>
      <c r="C26" s="14" t="s">
        <v>95</v>
      </c>
      <c r="D26" t="s">
        <v>122</v>
      </c>
    </row>
    <row r="27" spans="1:4" x14ac:dyDescent="0.15">
      <c r="A27" s="25" t="s">
        <v>157</v>
      </c>
      <c r="B27" s="14" t="s">
        <v>71</v>
      </c>
      <c r="C27" s="14" t="s">
        <v>95</v>
      </c>
      <c r="D27" t="s">
        <v>123</v>
      </c>
    </row>
    <row r="28" spans="1:4" x14ac:dyDescent="0.15">
      <c r="A28" s="25" t="s">
        <v>155</v>
      </c>
      <c r="B28" s="14" t="s">
        <v>72</v>
      </c>
      <c r="C28" s="14" t="s">
        <v>95</v>
      </c>
      <c r="D28" t="s">
        <v>124</v>
      </c>
    </row>
    <row r="29" spans="1:4" x14ac:dyDescent="0.15">
      <c r="A29" s="25" t="s">
        <v>158</v>
      </c>
      <c r="B29" s="14" t="s">
        <v>51</v>
      </c>
      <c r="C29" s="14" t="s">
        <v>95</v>
      </c>
      <c r="D29" t="s">
        <v>125</v>
      </c>
    </row>
    <row r="30" spans="1:4" x14ac:dyDescent="0.15">
      <c r="A30" s="25" t="s">
        <v>159</v>
      </c>
      <c r="B30" s="14" t="s">
        <v>52</v>
      </c>
      <c r="C30" s="14" t="s">
        <v>95</v>
      </c>
      <c r="D30" t="s">
        <v>126</v>
      </c>
    </row>
    <row r="31" spans="1:4" x14ac:dyDescent="0.15">
      <c r="A31" s="25" t="s">
        <v>160</v>
      </c>
      <c r="B31" s="14" t="s">
        <v>74</v>
      </c>
      <c r="C31" s="14" t="s">
        <v>95</v>
      </c>
      <c r="D31" t="s">
        <v>127</v>
      </c>
    </row>
    <row r="32" spans="1:4" x14ac:dyDescent="0.15">
      <c r="A32" s="25" t="s">
        <v>161</v>
      </c>
      <c r="B32" s="14" t="s">
        <v>76</v>
      </c>
      <c r="C32" s="14" t="s">
        <v>95</v>
      </c>
      <c r="D32" t="s">
        <v>128</v>
      </c>
    </row>
    <row r="33" spans="1:4" x14ac:dyDescent="0.15">
      <c r="A33" s="25" t="s">
        <v>162</v>
      </c>
      <c r="B33" s="14" t="s">
        <v>53</v>
      </c>
      <c r="C33" s="14" t="s">
        <v>95</v>
      </c>
      <c r="D33" t="s">
        <v>129</v>
      </c>
    </row>
    <row r="34" spans="1:4" x14ac:dyDescent="0.15">
      <c r="A34" s="25" t="s">
        <v>163</v>
      </c>
      <c r="B34" s="14" t="s">
        <v>54</v>
      </c>
      <c r="C34" s="14" t="s">
        <v>95</v>
      </c>
      <c r="D34" t="s">
        <v>130</v>
      </c>
    </row>
    <row r="35" spans="1:4" x14ac:dyDescent="0.15">
      <c r="A35" s="25" t="s">
        <v>164</v>
      </c>
      <c r="B35" s="14" t="s">
        <v>78</v>
      </c>
      <c r="C35" s="14" t="s">
        <v>95</v>
      </c>
      <c r="D35" t="s">
        <v>131</v>
      </c>
    </row>
  </sheetData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R８年度 (税)</vt:lpstr>
      <vt:lpstr>都市</vt:lpstr>
      <vt:lpstr>箕面</vt:lpstr>
      <vt:lpstr>一覧</vt:lpstr>
      <vt:lpstr>R８年度</vt:lpstr>
      <vt:lpstr>☆R7開催タイトル読み（入力補助）</vt:lpstr>
      <vt:lpstr>'R８年度'!Print_Area</vt:lpstr>
      <vt:lpstr>'R８年度 (税)'!Print_Area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秀夫 松山</dc:creator>
  <cp:lastModifiedBy>hide matu</cp:lastModifiedBy>
  <cp:lastPrinted>2026-03-16T04:28:36Z</cp:lastPrinted>
  <dcterms:created xsi:type="dcterms:W3CDTF">2026-02-06T04:10:18Z</dcterms:created>
  <dcterms:modified xsi:type="dcterms:W3CDTF">2026-03-16T04:28:40Z</dcterms:modified>
</cp:coreProperties>
</file>